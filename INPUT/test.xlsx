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UY-NGUYEN\"/>
    </mc:Choice>
  </mc:AlternateContent>
  <xr:revisionPtr revIDLastSave="0" documentId="8_{9668CCD8-5789-41D2-9D34-0A624E26EA9E}" xr6:coauthVersionLast="47" xr6:coauthVersionMax="47" xr10:uidLastSave="{00000000-0000-0000-0000-000000000000}"/>
  <bookViews>
    <workbookView xWindow="2685" yWindow="2685" windowWidth="21600" windowHeight="11385" xr2:uid="{4868C8FB-0906-4023-B5AD-90B1D77CBD41}"/>
  </bookViews>
  <sheets>
    <sheet name="Sheet1" sheetId="1" r:id="rId1"/>
  </sheets>
  <calcPr calcId="191029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00" i="1" l="1"/>
  <c r="AB100" i="1"/>
  <c r="Z100" i="1"/>
  <c r="Y100" i="1"/>
  <c r="W100" i="1"/>
  <c r="V100" i="1"/>
  <c r="T100" i="1"/>
  <c r="S100" i="1"/>
  <c r="Q100" i="1"/>
  <c r="P100" i="1"/>
  <c r="N100" i="1"/>
  <c r="M100" i="1"/>
  <c r="K100" i="1"/>
  <c r="J100" i="1"/>
  <c r="H100" i="1"/>
  <c r="G100" i="1"/>
  <c r="E100" i="1"/>
  <c r="D100" i="1"/>
  <c r="AD99" i="1"/>
  <c r="AA99" i="1"/>
  <c r="X99" i="1"/>
  <c r="U99" i="1"/>
  <c r="R99" i="1"/>
  <c r="O99" i="1"/>
  <c r="L99" i="1"/>
  <c r="I99" i="1"/>
  <c r="F99" i="1"/>
  <c r="AD98" i="1"/>
  <c r="AA98" i="1"/>
  <c r="X98" i="1"/>
  <c r="U98" i="1"/>
  <c r="R98" i="1"/>
  <c r="O98" i="1"/>
  <c r="L98" i="1"/>
  <c r="I98" i="1"/>
  <c r="F98" i="1"/>
  <c r="AD97" i="1"/>
  <c r="AA97" i="1"/>
  <c r="X97" i="1"/>
  <c r="U97" i="1"/>
  <c r="R97" i="1"/>
  <c r="O97" i="1"/>
  <c r="L97" i="1"/>
  <c r="I97" i="1"/>
  <c r="F97" i="1"/>
  <c r="AD96" i="1"/>
  <c r="AA96" i="1"/>
  <c r="X96" i="1"/>
  <c r="U96" i="1"/>
  <c r="R96" i="1"/>
  <c r="O96" i="1"/>
  <c r="L96" i="1"/>
  <c r="I96" i="1"/>
  <c r="F96" i="1"/>
  <c r="AD95" i="1"/>
  <c r="AA95" i="1"/>
  <c r="X95" i="1"/>
  <c r="U95" i="1"/>
  <c r="R95" i="1"/>
  <c r="O95" i="1"/>
  <c r="L95" i="1"/>
  <c r="I95" i="1"/>
  <c r="F95" i="1"/>
  <c r="AD94" i="1"/>
  <c r="AA94" i="1"/>
  <c r="X94" i="1"/>
  <c r="U94" i="1"/>
  <c r="R94" i="1"/>
  <c r="O94" i="1"/>
  <c r="L94" i="1"/>
  <c r="I94" i="1"/>
  <c r="F94" i="1"/>
  <c r="AD93" i="1"/>
  <c r="AA93" i="1"/>
  <c r="X93" i="1"/>
  <c r="U93" i="1"/>
  <c r="R93" i="1"/>
  <c r="O93" i="1"/>
  <c r="L93" i="1"/>
  <c r="I93" i="1"/>
  <c r="F93" i="1"/>
  <c r="AD92" i="1"/>
  <c r="AA92" i="1"/>
  <c r="X92" i="1"/>
  <c r="U92" i="1"/>
  <c r="R92" i="1"/>
  <c r="O92" i="1"/>
  <c r="L92" i="1"/>
  <c r="I92" i="1"/>
  <c r="F92" i="1"/>
  <c r="AD91" i="1"/>
  <c r="AA91" i="1"/>
  <c r="X91" i="1"/>
  <c r="U91" i="1"/>
  <c r="R91" i="1"/>
  <c r="O91" i="1"/>
  <c r="L91" i="1"/>
  <c r="I91" i="1"/>
  <c r="F91" i="1"/>
  <c r="AD90" i="1"/>
  <c r="AA90" i="1"/>
  <c r="X90" i="1"/>
  <c r="U90" i="1"/>
  <c r="R90" i="1"/>
  <c r="O90" i="1"/>
  <c r="L90" i="1"/>
  <c r="I90" i="1"/>
  <c r="F90" i="1"/>
  <c r="AD89" i="1"/>
  <c r="AA89" i="1"/>
  <c r="X89" i="1"/>
  <c r="U89" i="1"/>
  <c r="R89" i="1"/>
  <c r="O89" i="1"/>
  <c r="L89" i="1"/>
  <c r="I89" i="1"/>
  <c r="F89" i="1"/>
  <c r="AD88" i="1"/>
  <c r="AA88" i="1"/>
  <c r="X88" i="1"/>
  <c r="U88" i="1"/>
  <c r="R88" i="1"/>
  <c r="O88" i="1"/>
  <c r="L88" i="1"/>
  <c r="I88" i="1"/>
  <c r="F88" i="1"/>
  <c r="AD87" i="1"/>
  <c r="AA87" i="1"/>
  <c r="X87" i="1"/>
  <c r="U87" i="1"/>
  <c r="R87" i="1"/>
  <c r="O87" i="1"/>
  <c r="L87" i="1"/>
  <c r="I87" i="1"/>
  <c r="F87" i="1"/>
  <c r="AD86" i="1"/>
  <c r="AA86" i="1"/>
  <c r="X86" i="1"/>
  <c r="U86" i="1"/>
  <c r="R86" i="1"/>
  <c r="O86" i="1"/>
  <c r="L86" i="1"/>
  <c r="I86" i="1"/>
  <c r="F86" i="1"/>
  <c r="AD85" i="1"/>
  <c r="AA85" i="1"/>
  <c r="X85" i="1"/>
  <c r="U85" i="1"/>
  <c r="R85" i="1"/>
  <c r="O85" i="1"/>
  <c r="L85" i="1"/>
  <c r="I85" i="1"/>
  <c r="F85" i="1"/>
  <c r="AD84" i="1"/>
  <c r="AA84" i="1"/>
  <c r="X84" i="1"/>
  <c r="U84" i="1"/>
  <c r="R84" i="1"/>
  <c r="O84" i="1"/>
  <c r="L84" i="1"/>
  <c r="I84" i="1"/>
  <c r="F84" i="1"/>
  <c r="AD83" i="1"/>
  <c r="AA83" i="1"/>
  <c r="X83" i="1"/>
  <c r="U83" i="1"/>
  <c r="R83" i="1"/>
  <c r="O83" i="1"/>
  <c r="L83" i="1"/>
  <c r="I83" i="1"/>
  <c r="F83" i="1"/>
  <c r="AD82" i="1"/>
  <c r="AA82" i="1"/>
  <c r="X82" i="1"/>
  <c r="U82" i="1"/>
  <c r="R82" i="1"/>
  <c r="O82" i="1"/>
  <c r="L82" i="1"/>
  <c r="I82" i="1"/>
  <c r="F82" i="1"/>
  <c r="AD81" i="1"/>
  <c r="AA81" i="1"/>
  <c r="X81" i="1"/>
  <c r="U81" i="1"/>
  <c r="R81" i="1"/>
  <c r="O81" i="1"/>
  <c r="L81" i="1"/>
  <c r="I81" i="1"/>
  <c r="F81" i="1"/>
  <c r="AD80" i="1"/>
  <c r="AA80" i="1"/>
  <c r="X80" i="1"/>
  <c r="U80" i="1"/>
  <c r="R80" i="1"/>
  <c r="O80" i="1"/>
  <c r="L80" i="1"/>
  <c r="I80" i="1"/>
  <c r="F80" i="1"/>
  <c r="AD79" i="1"/>
  <c r="AA79" i="1"/>
  <c r="X79" i="1"/>
  <c r="U79" i="1"/>
  <c r="R79" i="1"/>
  <c r="O79" i="1"/>
  <c r="L79" i="1"/>
  <c r="I79" i="1"/>
  <c r="F79" i="1"/>
  <c r="AD78" i="1"/>
  <c r="AA78" i="1"/>
  <c r="X78" i="1"/>
  <c r="U78" i="1"/>
  <c r="R78" i="1"/>
  <c r="O78" i="1"/>
  <c r="L78" i="1"/>
  <c r="I78" i="1"/>
  <c r="F78" i="1"/>
  <c r="AD77" i="1"/>
  <c r="AA77" i="1"/>
  <c r="X77" i="1"/>
  <c r="U77" i="1"/>
  <c r="R77" i="1"/>
  <c r="O77" i="1"/>
  <c r="L77" i="1"/>
  <c r="I77" i="1"/>
  <c r="F77" i="1"/>
  <c r="AD76" i="1"/>
  <c r="AA76" i="1"/>
  <c r="X76" i="1"/>
  <c r="U76" i="1"/>
  <c r="R76" i="1"/>
  <c r="O76" i="1"/>
  <c r="L76" i="1"/>
  <c r="I76" i="1"/>
  <c r="F76" i="1"/>
  <c r="AD75" i="1"/>
  <c r="AA75" i="1"/>
  <c r="X75" i="1"/>
  <c r="U75" i="1"/>
  <c r="R75" i="1"/>
  <c r="O75" i="1"/>
  <c r="L75" i="1"/>
  <c r="I75" i="1"/>
  <c r="F75" i="1"/>
  <c r="AD74" i="1"/>
  <c r="AA74" i="1"/>
  <c r="X74" i="1"/>
  <c r="U74" i="1"/>
  <c r="R74" i="1"/>
  <c r="O74" i="1"/>
  <c r="L74" i="1"/>
  <c r="I74" i="1"/>
  <c r="F74" i="1"/>
  <c r="AD73" i="1"/>
  <c r="AA73" i="1"/>
  <c r="X73" i="1"/>
  <c r="U73" i="1"/>
  <c r="R73" i="1"/>
  <c r="O73" i="1"/>
  <c r="L73" i="1"/>
  <c r="I73" i="1"/>
  <c r="F73" i="1"/>
  <c r="AD72" i="1"/>
  <c r="AA72" i="1"/>
  <c r="X72" i="1"/>
  <c r="U72" i="1"/>
  <c r="R72" i="1"/>
  <c r="O72" i="1"/>
  <c r="L72" i="1"/>
  <c r="I72" i="1"/>
  <c r="F72" i="1"/>
  <c r="AD71" i="1"/>
  <c r="AA71" i="1"/>
  <c r="X71" i="1"/>
  <c r="U71" i="1"/>
  <c r="R71" i="1"/>
  <c r="O71" i="1"/>
  <c r="L71" i="1"/>
  <c r="I71" i="1"/>
  <c r="F71" i="1"/>
  <c r="AD70" i="1"/>
  <c r="AA70" i="1"/>
  <c r="X70" i="1"/>
  <c r="U70" i="1"/>
  <c r="R70" i="1"/>
  <c r="O70" i="1"/>
  <c r="L70" i="1"/>
  <c r="I70" i="1"/>
  <c r="F70" i="1"/>
  <c r="AD69" i="1"/>
  <c r="AA69" i="1"/>
  <c r="X69" i="1"/>
  <c r="U69" i="1"/>
  <c r="R69" i="1"/>
  <c r="O69" i="1"/>
  <c r="L69" i="1"/>
  <c r="I69" i="1"/>
  <c r="F69" i="1"/>
  <c r="AD68" i="1"/>
  <c r="AA68" i="1"/>
  <c r="X68" i="1"/>
  <c r="U68" i="1"/>
  <c r="R68" i="1"/>
  <c r="O68" i="1"/>
  <c r="L68" i="1"/>
  <c r="I68" i="1"/>
  <c r="F68" i="1"/>
  <c r="AD67" i="1"/>
  <c r="AA67" i="1"/>
  <c r="X67" i="1"/>
  <c r="U67" i="1"/>
  <c r="R67" i="1"/>
  <c r="O67" i="1"/>
  <c r="L67" i="1"/>
  <c r="I67" i="1"/>
  <c r="F67" i="1"/>
  <c r="AD66" i="1"/>
  <c r="AA66" i="1"/>
  <c r="X66" i="1"/>
  <c r="U66" i="1"/>
  <c r="R66" i="1"/>
  <c r="O66" i="1"/>
  <c r="L66" i="1"/>
  <c r="I66" i="1"/>
  <c r="F66" i="1"/>
  <c r="AD65" i="1"/>
  <c r="AA65" i="1"/>
  <c r="X65" i="1"/>
  <c r="U65" i="1"/>
  <c r="R65" i="1"/>
  <c r="O65" i="1"/>
  <c r="L65" i="1"/>
  <c r="I65" i="1"/>
  <c r="F65" i="1"/>
  <c r="AD64" i="1"/>
  <c r="AA64" i="1"/>
  <c r="X64" i="1"/>
  <c r="U64" i="1"/>
  <c r="R64" i="1"/>
  <c r="O64" i="1"/>
  <c r="L64" i="1"/>
  <c r="I64" i="1"/>
  <c r="F64" i="1"/>
  <c r="AD63" i="1"/>
  <c r="AA63" i="1"/>
  <c r="X63" i="1"/>
  <c r="U63" i="1"/>
  <c r="R63" i="1"/>
  <c r="O63" i="1"/>
  <c r="L63" i="1"/>
  <c r="I63" i="1"/>
  <c r="F63" i="1"/>
  <c r="AD62" i="1"/>
  <c r="AA62" i="1"/>
  <c r="X62" i="1"/>
  <c r="U62" i="1"/>
  <c r="R62" i="1"/>
  <c r="O62" i="1"/>
  <c r="L62" i="1"/>
  <c r="I62" i="1"/>
  <c r="F62" i="1"/>
  <c r="AD61" i="1"/>
  <c r="AA61" i="1"/>
  <c r="X61" i="1"/>
  <c r="U61" i="1"/>
  <c r="R61" i="1"/>
  <c r="O61" i="1"/>
  <c r="L61" i="1"/>
  <c r="I61" i="1"/>
  <c r="F61" i="1"/>
  <c r="AD60" i="1"/>
  <c r="AA60" i="1"/>
  <c r="X60" i="1"/>
  <c r="U60" i="1"/>
  <c r="R60" i="1"/>
  <c r="O60" i="1"/>
  <c r="L60" i="1"/>
  <c r="I60" i="1"/>
  <c r="F60" i="1"/>
  <c r="AD59" i="1"/>
  <c r="AA59" i="1"/>
  <c r="X59" i="1"/>
  <c r="U59" i="1"/>
  <c r="R59" i="1"/>
  <c r="O59" i="1"/>
  <c r="L59" i="1"/>
  <c r="I59" i="1"/>
  <c r="F59" i="1"/>
  <c r="AD58" i="1"/>
  <c r="AA58" i="1"/>
  <c r="X58" i="1"/>
  <c r="U58" i="1"/>
  <c r="R58" i="1"/>
  <c r="O58" i="1"/>
  <c r="L58" i="1"/>
  <c r="I58" i="1"/>
  <c r="F58" i="1"/>
  <c r="AD57" i="1"/>
  <c r="AA57" i="1"/>
  <c r="X57" i="1"/>
  <c r="U57" i="1"/>
  <c r="R57" i="1"/>
  <c r="O57" i="1"/>
  <c r="L57" i="1"/>
  <c r="I57" i="1"/>
  <c r="F57" i="1"/>
  <c r="AD56" i="1"/>
  <c r="AA56" i="1"/>
  <c r="X56" i="1"/>
  <c r="U56" i="1"/>
  <c r="R56" i="1"/>
  <c r="O56" i="1"/>
  <c r="L56" i="1"/>
  <c r="I56" i="1"/>
  <c r="F56" i="1"/>
  <c r="AD55" i="1"/>
  <c r="AA55" i="1"/>
  <c r="X55" i="1"/>
  <c r="U55" i="1"/>
  <c r="R55" i="1"/>
  <c r="O55" i="1"/>
  <c r="L55" i="1"/>
  <c r="I55" i="1"/>
  <c r="F55" i="1"/>
  <c r="AD54" i="1"/>
  <c r="AA54" i="1"/>
  <c r="X54" i="1"/>
  <c r="U54" i="1"/>
  <c r="R54" i="1"/>
  <c r="O54" i="1"/>
  <c r="L54" i="1"/>
  <c r="I54" i="1"/>
  <c r="F54" i="1"/>
  <c r="AD53" i="1"/>
  <c r="AA53" i="1"/>
  <c r="X53" i="1"/>
  <c r="U53" i="1"/>
  <c r="R53" i="1"/>
  <c r="O53" i="1"/>
  <c r="L53" i="1"/>
  <c r="I53" i="1"/>
  <c r="F53" i="1"/>
  <c r="AD52" i="1"/>
  <c r="AA52" i="1"/>
  <c r="X52" i="1"/>
  <c r="U52" i="1"/>
  <c r="R52" i="1"/>
  <c r="O52" i="1"/>
  <c r="L52" i="1"/>
  <c r="I52" i="1"/>
  <c r="F52" i="1"/>
  <c r="AD51" i="1"/>
  <c r="AA51" i="1"/>
  <c r="X51" i="1"/>
  <c r="U51" i="1"/>
  <c r="R51" i="1"/>
  <c r="O51" i="1"/>
  <c r="L51" i="1"/>
  <c r="I51" i="1"/>
  <c r="F51" i="1"/>
  <c r="AD50" i="1"/>
  <c r="AA50" i="1"/>
  <c r="X50" i="1"/>
  <c r="U50" i="1"/>
  <c r="R50" i="1"/>
  <c r="O50" i="1"/>
  <c r="L50" i="1"/>
  <c r="I50" i="1"/>
  <c r="F50" i="1"/>
  <c r="AD49" i="1"/>
  <c r="AA49" i="1"/>
  <c r="X49" i="1"/>
  <c r="U49" i="1"/>
  <c r="R49" i="1"/>
  <c r="O49" i="1"/>
  <c r="L49" i="1"/>
  <c r="I49" i="1"/>
  <c r="F49" i="1"/>
  <c r="AD48" i="1"/>
  <c r="AA48" i="1"/>
  <c r="X48" i="1"/>
  <c r="U48" i="1"/>
  <c r="R48" i="1"/>
  <c r="O48" i="1"/>
  <c r="L48" i="1"/>
  <c r="I48" i="1"/>
  <c r="F48" i="1"/>
  <c r="AD47" i="1"/>
  <c r="AA47" i="1"/>
  <c r="X47" i="1"/>
  <c r="U47" i="1"/>
  <c r="R47" i="1"/>
  <c r="O47" i="1"/>
  <c r="L47" i="1"/>
  <c r="I47" i="1"/>
  <c r="F47" i="1"/>
  <c r="AD46" i="1"/>
  <c r="AA46" i="1"/>
  <c r="X46" i="1"/>
  <c r="U46" i="1"/>
  <c r="R46" i="1"/>
  <c r="O46" i="1"/>
  <c r="L46" i="1"/>
  <c r="I46" i="1"/>
  <c r="F46" i="1"/>
  <c r="AD45" i="1"/>
  <c r="AA45" i="1"/>
  <c r="X45" i="1"/>
  <c r="U45" i="1"/>
  <c r="R45" i="1"/>
  <c r="O45" i="1"/>
  <c r="L45" i="1"/>
  <c r="I45" i="1"/>
  <c r="F45" i="1"/>
  <c r="AD44" i="1"/>
  <c r="AA44" i="1"/>
  <c r="X44" i="1"/>
  <c r="U44" i="1"/>
  <c r="R44" i="1"/>
  <c r="O44" i="1"/>
  <c r="L44" i="1"/>
  <c r="I44" i="1"/>
  <c r="F44" i="1"/>
  <c r="AD43" i="1"/>
  <c r="AA43" i="1"/>
  <c r="X43" i="1"/>
  <c r="U43" i="1"/>
  <c r="R43" i="1"/>
  <c r="O43" i="1"/>
  <c r="L43" i="1"/>
  <c r="I43" i="1"/>
  <c r="F43" i="1"/>
  <c r="AD42" i="1"/>
  <c r="AA42" i="1"/>
  <c r="X42" i="1"/>
  <c r="U42" i="1"/>
  <c r="R42" i="1"/>
  <c r="O42" i="1"/>
  <c r="L42" i="1"/>
  <c r="I42" i="1"/>
  <c r="F42" i="1"/>
  <c r="AD41" i="1"/>
  <c r="AA41" i="1"/>
  <c r="X41" i="1"/>
  <c r="U41" i="1"/>
  <c r="R41" i="1"/>
  <c r="O41" i="1"/>
  <c r="L41" i="1"/>
  <c r="I41" i="1"/>
  <c r="F41" i="1"/>
  <c r="AD40" i="1"/>
  <c r="AA40" i="1"/>
  <c r="X40" i="1"/>
  <c r="U40" i="1"/>
  <c r="R40" i="1"/>
  <c r="O40" i="1"/>
  <c r="L40" i="1"/>
  <c r="I40" i="1"/>
  <c r="F40" i="1"/>
  <c r="AD39" i="1"/>
  <c r="AA39" i="1"/>
  <c r="X39" i="1"/>
  <c r="U39" i="1"/>
  <c r="R39" i="1"/>
  <c r="O39" i="1"/>
  <c r="L39" i="1"/>
  <c r="I39" i="1"/>
  <c r="F39" i="1"/>
  <c r="AD38" i="1"/>
  <c r="AA38" i="1"/>
  <c r="X38" i="1"/>
  <c r="U38" i="1"/>
  <c r="R38" i="1"/>
  <c r="O38" i="1"/>
  <c r="L38" i="1"/>
  <c r="I38" i="1"/>
  <c r="F38" i="1"/>
  <c r="AD37" i="1"/>
  <c r="AA37" i="1"/>
  <c r="X37" i="1"/>
  <c r="U37" i="1"/>
  <c r="R37" i="1"/>
  <c r="O37" i="1"/>
  <c r="L37" i="1"/>
  <c r="I37" i="1"/>
  <c r="F37" i="1"/>
  <c r="AD36" i="1"/>
  <c r="AA36" i="1"/>
  <c r="X36" i="1"/>
  <c r="U36" i="1"/>
  <c r="R36" i="1"/>
  <c r="O36" i="1"/>
  <c r="L36" i="1"/>
  <c r="I36" i="1"/>
  <c r="F36" i="1"/>
  <c r="AD35" i="1"/>
  <c r="AA35" i="1"/>
  <c r="X35" i="1"/>
  <c r="U35" i="1"/>
  <c r="R35" i="1"/>
  <c r="O35" i="1"/>
  <c r="L35" i="1"/>
  <c r="I35" i="1"/>
  <c r="F35" i="1"/>
  <c r="AD34" i="1"/>
  <c r="AA34" i="1"/>
  <c r="X34" i="1"/>
  <c r="U34" i="1"/>
  <c r="R34" i="1"/>
  <c r="O34" i="1"/>
  <c r="L34" i="1"/>
  <c r="I34" i="1"/>
  <c r="F34" i="1"/>
  <c r="AD33" i="1"/>
  <c r="AA33" i="1"/>
  <c r="X33" i="1"/>
  <c r="U33" i="1"/>
  <c r="R33" i="1"/>
  <c r="O33" i="1"/>
  <c r="L33" i="1"/>
  <c r="I33" i="1"/>
  <c r="F33" i="1"/>
  <c r="AD32" i="1"/>
  <c r="AA32" i="1"/>
  <c r="X32" i="1"/>
  <c r="U32" i="1"/>
  <c r="R32" i="1"/>
  <c r="O32" i="1"/>
  <c r="L32" i="1"/>
  <c r="I32" i="1"/>
  <c r="F32" i="1"/>
  <c r="AD31" i="1"/>
  <c r="AA31" i="1"/>
  <c r="X31" i="1"/>
  <c r="U31" i="1"/>
  <c r="R31" i="1"/>
  <c r="O31" i="1"/>
  <c r="L31" i="1"/>
  <c r="I31" i="1"/>
  <c r="F31" i="1"/>
  <c r="AD30" i="1"/>
  <c r="AA30" i="1"/>
  <c r="X30" i="1"/>
  <c r="U30" i="1"/>
  <c r="R30" i="1"/>
  <c r="O30" i="1"/>
  <c r="L30" i="1"/>
  <c r="I30" i="1"/>
  <c r="F30" i="1"/>
  <c r="AD29" i="1"/>
  <c r="AA29" i="1"/>
  <c r="X29" i="1"/>
  <c r="U29" i="1"/>
  <c r="R29" i="1"/>
  <c r="O29" i="1"/>
  <c r="L29" i="1"/>
  <c r="I29" i="1"/>
  <c r="F29" i="1"/>
  <c r="AD28" i="1"/>
  <c r="AA28" i="1"/>
  <c r="X28" i="1"/>
  <c r="U28" i="1"/>
  <c r="R28" i="1"/>
  <c r="O28" i="1"/>
  <c r="L28" i="1"/>
  <c r="I28" i="1"/>
  <c r="F28" i="1"/>
  <c r="AD27" i="1"/>
  <c r="AA27" i="1"/>
  <c r="X27" i="1"/>
  <c r="U27" i="1"/>
  <c r="R27" i="1"/>
  <c r="O27" i="1"/>
  <c r="L27" i="1"/>
  <c r="I27" i="1"/>
  <c r="F27" i="1"/>
  <c r="AD26" i="1"/>
  <c r="AA26" i="1"/>
  <c r="X26" i="1"/>
  <c r="U26" i="1"/>
  <c r="R26" i="1"/>
  <c r="O26" i="1"/>
  <c r="L26" i="1"/>
  <c r="I26" i="1"/>
  <c r="F26" i="1"/>
  <c r="AD25" i="1"/>
  <c r="AA25" i="1"/>
  <c r="X25" i="1"/>
  <c r="U25" i="1"/>
  <c r="R25" i="1"/>
  <c r="O25" i="1"/>
  <c r="L25" i="1"/>
  <c r="I25" i="1"/>
  <c r="F25" i="1"/>
  <c r="AD24" i="1"/>
  <c r="AA24" i="1"/>
  <c r="X24" i="1"/>
  <c r="U24" i="1"/>
  <c r="R24" i="1"/>
  <c r="O24" i="1"/>
  <c r="L24" i="1"/>
  <c r="I24" i="1"/>
  <c r="F24" i="1"/>
  <c r="AD23" i="1"/>
  <c r="AA23" i="1"/>
  <c r="X23" i="1"/>
  <c r="U23" i="1"/>
  <c r="R23" i="1"/>
  <c r="O23" i="1"/>
  <c r="L23" i="1"/>
  <c r="I23" i="1"/>
  <c r="F23" i="1"/>
  <c r="AD22" i="1"/>
  <c r="AA22" i="1"/>
  <c r="X22" i="1"/>
  <c r="U22" i="1"/>
  <c r="R22" i="1"/>
  <c r="O22" i="1"/>
  <c r="L22" i="1"/>
  <c r="I22" i="1"/>
  <c r="F22" i="1"/>
  <c r="AD21" i="1"/>
  <c r="AA21" i="1"/>
  <c r="X21" i="1"/>
  <c r="U21" i="1"/>
  <c r="R21" i="1"/>
  <c r="O21" i="1"/>
  <c r="L21" i="1"/>
  <c r="I21" i="1"/>
  <c r="F21" i="1"/>
  <c r="AD20" i="1"/>
  <c r="AA20" i="1"/>
  <c r="X20" i="1"/>
  <c r="U20" i="1"/>
  <c r="R20" i="1"/>
  <c r="O20" i="1"/>
  <c r="L20" i="1"/>
  <c r="I20" i="1"/>
  <c r="F20" i="1"/>
  <c r="AD19" i="1"/>
  <c r="AA19" i="1"/>
  <c r="X19" i="1"/>
  <c r="U19" i="1"/>
  <c r="R19" i="1"/>
  <c r="O19" i="1"/>
  <c r="L19" i="1"/>
  <c r="I19" i="1"/>
  <c r="F19" i="1"/>
  <c r="AD18" i="1"/>
  <c r="AA18" i="1"/>
  <c r="X18" i="1"/>
  <c r="U18" i="1"/>
  <c r="R18" i="1"/>
  <c r="O18" i="1"/>
  <c r="L18" i="1"/>
  <c r="I18" i="1"/>
  <c r="F18" i="1"/>
  <c r="AD17" i="1"/>
  <c r="AA17" i="1"/>
  <c r="X17" i="1"/>
  <c r="U17" i="1"/>
  <c r="R17" i="1"/>
  <c r="O17" i="1"/>
  <c r="L17" i="1"/>
  <c r="I17" i="1"/>
  <c r="F17" i="1"/>
  <c r="AD16" i="1"/>
  <c r="AA16" i="1"/>
  <c r="X16" i="1"/>
  <c r="U16" i="1"/>
  <c r="R16" i="1"/>
  <c r="O16" i="1"/>
  <c r="L16" i="1"/>
  <c r="I16" i="1"/>
  <c r="F16" i="1"/>
  <c r="AD15" i="1"/>
  <c r="AA15" i="1"/>
  <c r="X15" i="1"/>
  <c r="U15" i="1"/>
  <c r="R15" i="1"/>
  <c r="O15" i="1"/>
  <c r="L15" i="1"/>
  <c r="I15" i="1"/>
  <c r="F15" i="1"/>
  <c r="AD14" i="1"/>
  <c r="AA14" i="1"/>
  <c r="X14" i="1"/>
  <c r="U14" i="1"/>
  <c r="R14" i="1"/>
  <c r="O14" i="1"/>
  <c r="L14" i="1"/>
  <c r="I14" i="1"/>
  <c r="F14" i="1"/>
  <c r="AD13" i="1"/>
  <c r="AA13" i="1"/>
  <c r="X13" i="1"/>
  <c r="U13" i="1"/>
  <c r="R13" i="1"/>
  <c r="O13" i="1"/>
  <c r="L13" i="1"/>
  <c r="I13" i="1"/>
  <c r="F13" i="1"/>
  <c r="AD12" i="1"/>
  <c r="AA12" i="1"/>
  <c r="X12" i="1"/>
  <c r="U12" i="1"/>
  <c r="R12" i="1"/>
  <c r="O12" i="1"/>
  <c r="L12" i="1"/>
  <c r="I12" i="1"/>
  <c r="F12" i="1"/>
  <c r="AD11" i="1"/>
  <c r="AA11" i="1"/>
  <c r="X11" i="1"/>
  <c r="U11" i="1"/>
  <c r="R11" i="1"/>
  <c r="O11" i="1"/>
  <c r="L11" i="1"/>
  <c r="I11" i="1"/>
  <c r="F11" i="1"/>
  <c r="AD10" i="1"/>
  <c r="AA10" i="1"/>
  <c r="X10" i="1"/>
  <c r="U10" i="1"/>
  <c r="R10" i="1"/>
  <c r="O10" i="1"/>
  <c r="L10" i="1"/>
  <c r="I10" i="1"/>
  <c r="F10" i="1"/>
  <c r="AD9" i="1"/>
  <c r="AA9" i="1"/>
  <c r="X9" i="1"/>
  <c r="U9" i="1"/>
  <c r="R9" i="1"/>
  <c r="O9" i="1"/>
  <c r="L9" i="1"/>
  <c r="I9" i="1"/>
  <c r="F9" i="1"/>
  <c r="AD8" i="1"/>
  <c r="AA8" i="1"/>
  <c r="X8" i="1"/>
  <c r="U8" i="1"/>
  <c r="R8" i="1"/>
  <c r="O8" i="1"/>
  <c r="L8" i="1"/>
  <c r="I8" i="1"/>
  <c r="F8" i="1"/>
  <c r="AD7" i="1"/>
  <c r="AA7" i="1"/>
  <c r="X7" i="1"/>
  <c r="U7" i="1"/>
  <c r="R7" i="1"/>
  <c r="O7" i="1"/>
  <c r="L7" i="1"/>
  <c r="L100" i="1" s="1"/>
  <c r="I7" i="1"/>
  <c r="F7" i="1"/>
  <c r="AD6" i="1"/>
  <c r="AA6" i="1"/>
  <c r="X6" i="1"/>
  <c r="U6" i="1"/>
  <c r="R6" i="1"/>
  <c r="O6" i="1"/>
  <c r="L6" i="1"/>
  <c r="I6" i="1"/>
  <c r="F6" i="1"/>
  <c r="AD5" i="1"/>
  <c r="AA5" i="1"/>
  <c r="X5" i="1"/>
  <c r="U5" i="1"/>
  <c r="R5" i="1"/>
  <c r="O5" i="1"/>
  <c r="L5" i="1"/>
  <c r="I5" i="1"/>
  <c r="F5" i="1"/>
  <c r="AD4" i="1"/>
  <c r="AA4" i="1"/>
  <c r="X4" i="1"/>
  <c r="U4" i="1"/>
  <c r="R4" i="1"/>
  <c r="O4" i="1"/>
  <c r="L4" i="1"/>
  <c r="I4" i="1"/>
  <c r="F4" i="1"/>
  <c r="AD3" i="1"/>
  <c r="AD100" i="1" s="1"/>
  <c r="AA3" i="1"/>
  <c r="AA100" i="1" s="1"/>
  <c r="X3" i="1"/>
  <c r="X100" i="1" s="1"/>
  <c r="U3" i="1"/>
  <c r="U100" i="1" s="1"/>
  <c r="R3" i="1"/>
  <c r="R100" i="1" s="1"/>
  <c r="O3" i="1"/>
  <c r="O100" i="1" s="1"/>
  <c r="L3" i="1"/>
  <c r="I3" i="1"/>
  <c r="I100" i="1" s="1"/>
  <c r="F3" i="1"/>
  <c r="F100" i="1" s="1"/>
</calcChain>
</file>

<file path=xl/sharedStrings.xml><?xml version="1.0" encoding="utf-8"?>
<sst xmlns="http://schemas.openxmlformats.org/spreadsheetml/2006/main" count="233" uniqueCount="133">
  <si>
    <t>Stt</t>
  </si>
  <si>
    <t>PGD</t>
  </si>
  <si>
    <t>Xã</t>
  </si>
  <si>
    <t>Cho vay Hộ nghèo</t>
  </si>
  <si>
    <t>Cho vay Hộ cận nghèo</t>
  </si>
  <si>
    <t>Cho vay Hộ mới thoát nghèo</t>
  </si>
  <si>
    <t>Cho vay Hộ gia đình sản xuất kinh doanh vùng khó khăn</t>
  </si>
  <si>
    <t>Cho vay Nước sạch và vệ sinh môi trường nông thôn</t>
  </si>
  <si>
    <t>Cho vay Học sinh sinh viên có hoàn cảnh khó khăn</t>
  </si>
  <si>
    <t>Cho vay đối với người chấp hành xong án phạt tù</t>
  </si>
  <si>
    <t>Cho vay Hỗ trợ tạo việc làm, duy trì, mở rộng việc làm từ nguồn vốn NHCSXH huy động</t>
  </si>
  <si>
    <t>Cho vay Hỗ trợ tạo việc làm, duy trì, mở rộng việc làm từ nguồn vốn ngân sách Trung ương cấp</t>
  </si>
  <si>
    <t>Kế hoạch năm 2026 đã giao</t>
  </si>
  <si>
    <t>Điều chỉnh tăng trưởng</t>
  </si>
  <si>
    <t>Chỉ tiêu kế hoạch năm 2026</t>
  </si>
  <si>
    <t>Phòng giao dịch NHCSXH Phú Ninh</t>
  </si>
  <si>
    <t>Xã Chiên Đàn</t>
  </si>
  <si>
    <t>Xã Phú Ninh</t>
  </si>
  <si>
    <t>Xã Tây Hồ</t>
  </si>
  <si>
    <t>Phòng giao dịch NHCSXH Tây Giang</t>
  </si>
  <si>
    <t>Xã A Vương</t>
  </si>
  <si>
    <t>Xã Hùng Sơn</t>
  </si>
  <si>
    <t>Xã Tây Giang</t>
  </si>
  <si>
    <t>Phòng giao dịch NHCSXH Nam Trà My</t>
  </si>
  <si>
    <t>Xã Nam Trà My</t>
  </si>
  <si>
    <t>Xã Trà Leng</t>
  </si>
  <si>
    <t>Xã Trà Linh</t>
  </si>
  <si>
    <t>Xã Trà Tập</t>
  </si>
  <si>
    <t>Xã Trà Vân</t>
  </si>
  <si>
    <t>Phòng giao dịch NHCSXH Điện Bàn</t>
  </si>
  <si>
    <t>Phường An Thắng</t>
  </si>
  <si>
    <t>Xã Gò Nổi</t>
  </si>
  <si>
    <t>Phường Điện Bàn</t>
  </si>
  <si>
    <t>Phường Điện Bàn Bắc</t>
  </si>
  <si>
    <t>Xã Điện Bàn Tây</t>
  </si>
  <si>
    <t>Phường Điện Bàn Đông</t>
  </si>
  <si>
    <t>Phòng giao dịch NHCSXH Duy Xuyên</t>
  </si>
  <si>
    <t>Xã Duy Nghĩa</t>
  </si>
  <si>
    <t>Xã Nam Phước</t>
  </si>
  <si>
    <t>Xã Duy Xuyên</t>
  </si>
  <si>
    <t>Xã Thu Bồn</t>
  </si>
  <si>
    <t>Phòng giao dịch NHCSXH Thăng Bình</t>
  </si>
  <si>
    <t>Xã Thăng An</t>
  </si>
  <si>
    <t>Xã Thăng Bình</t>
  </si>
  <si>
    <t>Xã Thăng Phú</t>
  </si>
  <si>
    <t>Xã Thăng Trường</t>
  </si>
  <si>
    <t>Xã Thăng Điền</t>
  </si>
  <si>
    <t>Xã Đồng Dương</t>
  </si>
  <si>
    <t>Phòng giao dịch NHCSXH Quế Sơn</t>
  </si>
  <si>
    <t>Xã Nông Sơn</t>
  </si>
  <si>
    <t>Xã Quế Phước</t>
  </si>
  <si>
    <t>Xã Quế Sơn</t>
  </si>
  <si>
    <t>Xã Quế Sơn Trung</t>
  </si>
  <si>
    <t>Xã Xuân Phú</t>
  </si>
  <si>
    <t>Phòng giao dịch NHCSXH Bắc Trà My</t>
  </si>
  <si>
    <t>Xã Trà Giáp</t>
  </si>
  <si>
    <t>Xã Trà Liên</t>
  </si>
  <si>
    <t>Xã Trà My</t>
  </si>
  <si>
    <t>Xã Trà Tân</t>
  </si>
  <si>
    <t>Xã Trà Đốc</t>
  </si>
  <si>
    <t>Phòng giao dịch NHCSXH Đại Lộc</t>
  </si>
  <si>
    <t>Xã Hà Nha</t>
  </si>
  <si>
    <t>Xã Phú Thuận</t>
  </si>
  <si>
    <t>Xã Thượng Đức</t>
  </si>
  <si>
    <t>Xã Vu Gia</t>
  </si>
  <si>
    <t>Xã Đại Lộc</t>
  </si>
  <si>
    <t>Phòng giao dịch NHCSXH Núi Thành</t>
  </si>
  <si>
    <t>Xã Núi Thành</t>
  </si>
  <si>
    <t>Xã Tam Anh</t>
  </si>
  <si>
    <t>Xã Tam Hải</t>
  </si>
  <si>
    <t>Xã Tam Mỹ</t>
  </si>
  <si>
    <t>Xã Đức Phú</t>
  </si>
  <si>
    <t>Phòng giao dịch NHCSXH Quảng Nam</t>
  </si>
  <si>
    <t>Phường Bàn Thạch</t>
  </si>
  <si>
    <t>Phường Hương Trà</t>
  </si>
  <si>
    <t>Phường Quảng Phú</t>
  </si>
  <si>
    <t>Phường Tam Kỳ</t>
  </si>
  <si>
    <t>Xã Tam Xuân</t>
  </si>
  <si>
    <t>Phòng giao dịch NHCSXH Tiên Phước</t>
  </si>
  <si>
    <t>Xã Lãnh Ngọc</t>
  </si>
  <si>
    <t>Xã Sơn Cẩm Hà</t>
  </si>
  <si>
    <t>Xã Thạnh Bình</t>
  </si>
  <si>
    <t>Xã Tiên Phước</t>
  </si>
  <si>
    <t>Phòng giao dịch NHCSXH Hội An</t>
  </si>
  <si>
    <t>Phường Hội An</t>
  </si>
  <si>
    <t>Phường Hội An Tây</t>
  </si>
  <si>
    <t>Phường Hội An Đông</t>
  </si>
  <si>
    <t>Xã Tân Hiệp</t>
  </si>
  <si>
    <t>Phòng giao dịch NHCSXH Nam Giang</t>
  </si>
  <si>
    <t>Xã Bến Giằng</t>
  </si>
  <si>
    <t>Xã La Dêê</t>
  </si>
  <si>
    <t>Xã La Êê</t>
  </si>
  <si>
    <t>Xã Nam Giang</t>
  </si>
  <si>
    <t>Xã Thạnh Mỹ</t>
  </si>
  <si>
    <t>Xã Đắc Pring</t>
  </si>
  <si>
    <t>Phòng giao dịch NHCSXH Phước Sơn</t>
  </si>
  <si>
    <t>Xã Khâm Đức</t>
  </si>
  <si>
    <t>Xã Phước Chánh</t>
  </si>
  <si>
    <t>Xã Phước Hiệp</t>
  </si>
  <si>
    <t>Xã Phước Năng</t>
  </si>
  <si>
    <t>Xã Phước Thành</t>
  </si>
  <si>
    <t>Phòng giao dịch NHCSXH Hiệp Đức</t>
  </si>
  <si>
    <t>Xã Hiệp Đức</t>
  </si>
  <si>
    <t>Xã Phước Trà</t>
  </si>
  <si>
    <t>Xã Việt An</t>
  </si>
  <si>
    <t>Phòng giao dịch NHCSXH Đông Giang</t>
  </si>
  <si>
    <t>Xã Bến Hiên</t>
  </si>
  <si>
    <t>Xã Sông Kôn</t>
  </si>
  <si>
    <t>Xã Sông Vàng</t>
  </si>
  <si>
    <t>Xã Đông Giang</t>
  </si>
  <si>
    <t>Hội sở Chi nhánh</t>
  </si>
  <si>
    <t>Phường Hòa Cường</t>
  </si>
  <si>
    <t>Phường Hải Châu</t>
  </si>
  <si>
    <t>Phòng giao dịch NHCSXH Thanh Khê</t>
  </si>
  <si>
    <t>Phường Thanh Khê</t>
  </si>
  <si>
    <t>Phòng giao dịch NHCSXH Liên Chiểu</t>
  </si>
  <si>
    <t>Phường Hòa Khánh</t>
  </si>
  <si>
    <t>Phường Hải Vân</t>
  </si>
  <si>
    <t>Phường Liên Chiểu</t>
  </si>
  <si>
    <t>Phòng giao dịch NHCSXH Sơn Trà</t>
  </si>
  <si>
    <t>Phường An Hải</t>
  </si>
  <si>
    <t>Phường Sơn Trà</t>
  </si>
  <si>
    <t>Phòng giao dịch NHCSXH Ngũ Hành Sơn</t>
  </si>
  <si>
    <t>Phường Ngũ Hành Sơn</t>
  </si>
  <si>
    <t>Phòng giao dịch NHCSXH Hòa Vang</t>
  </si>
  <si>
    <t>Xã Bà Nà</t>
  </si>
  <si>
    <t>Xã Hòa Tiến</t>
  </si>
  <si>
    <t>Xã Hòa Vang</t>
  </si>
  <si>
    <t>Phòng giao dịch NHCSXH Cẩm Lệ</t>
  </si>
  <si>
    <t>Phường An Khê</t>
  </si>
  <si>
    <t>Phường Cẩm Lệ</t>
  </si>
  <si>
    <t>Phường Hòa Xuân</t>
  </si>
  <si>
    <t>Cho vay trực tiếp NOXH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</si>
</sst>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wrapText="1"/>
    </xf>
    <xf numFmtId="3" fontId="3" fillId="0" borderId="3" xfId="1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3" fillId="0" borderId="4" xfId="1" applyNumberFormat="1" applyFont="1" applyBorder="1" applyAlignment="1">
      <alignment horizontal="right" vertical="center" wrapText="1"/>
    </xf>
    <xf numFmtId="3" fontId="3" fillId="0" borderId="1" xfId="1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3" fontId="3" fillId="0" borderId="1" xfId="1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3" fontId="3" fillId="0" borderId="1" xfId="1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3" fontId="3" fillId="2" borderId="1" xfId="0" applyNumberFormat="1" applyFont="1" applyFill="1" applyBorder="1" applyAlignment="1">
      <alignment horizontal="right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1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F1E4-C647-4B8D-8DA1-930A08DD4A96}">
  <dimension ref="A1:AD100"/>
  <sheetViews>
    <sheetView tabSelected="1" workbookViewId="0">
      <selection sqref="A1:AD100"/>
    </sheetView>
  </sheetViews>
  <sheetFormatPr defaultRowHeight="15" x14ac:dyDescent="0.25"/>
  <sheetData>
    <row r="1" spans="1:30" ht="15.75" x14ac:dyDescent="0.25">
      <c r="A1" s="1" t="inlineStr">
        <is>
          <t>Stt</t>
        </is>
      </c>
      <c r="B1" s="1" t="inlineStr">
        <is>
          <t>PGD</t>
        </is>
      </c>
      <c r="C1" s="1" t="inlineStr">
        <is>
          <t>Xã</t>
        </is>
      </c>
      <c r="D1" s="2" t="inlineStr">
        <is>
          <t>Cho vay Hộ nghèo</t>
        </is>
      </c>
      <c r="E1" s="2"/>
      <c r="F1" s="2">
        <v>0</v>
      </c>
      <c r="G1" s="2" t="inlineStr">
        <is>
          <t>Cho vay Hộ cận nghèo</t>
        </is>
      </c>
      <c r="H1" s="2"/>
      <c r="I1" s="2">
        <v>0</v>
      </c>
      <c r="J1" s="2" t="inlineStr">
        <is>
          <t>Cho vay Hộ mới thoát nghèo</t>
        </is>
      </c>
      <c r="K1" s="2"/>
      <c r="L1" s="2">
        <v>0</v>
      </c>
      <c r="M1" s="2" t="inlineStr">
        <is>
          <t>Cho vay Hộ gia đình sản xuất kinh doanh vùng khó khăn</t>
        </is>
      </c>
      <c r="N1" s="2"/>
      <c r="O1" s="2">
        <v>0</v>
      </c>
      <c r="P1" s="2" t="inlineStr">
        <is>
          <t>Cho vay Nước sạch và vệ sinh môi trường nông thôn</t>
        </is>
      </c>
      <c r="Q1" s="2"/>
      <c r="R1" s="2">
        <v>0</v>
      </c>
      <c r="S1" s="2" t="inlineStr">
        <is>
          <t>Cho vay Học sinh sinh viên có hoàn cảnh khó khăn</t>
        </is>
      </c>
      <c r="T1" s="2"/>
      <c r="U1" s="2">
        <v>0</v>
      </c>
      <c r="V1" s="2" t="inlineStr">
        <is>
          <t>Cho vay đối với người chấp hành xong án phạt tù</t>
        </is>
      </c>
      <c r="W1" s="2"/>
      <c r="X1" s="2">
        <v>0</v>
      </c>
      <c r="Y1" s="2" t="inlineStr">
        <is>
          <t>Cho vay Hỗ trợ tạo việc làm, duy trì, mở rộng việc làm từ nguồn vốn NHCSXH huy động</t>
        </is>
      </c>
      <c r="Z1" s="2"/>
      <c r="AA1" s="2">
        <v>0</v>
      </c>
      <c r="AB1" s="2" t="inlineStr">
        <is>
          <t>Cho vay Hỗ trợ tạo việc làm, duy trì, mở rộng việc làm từ nguồn vốn ngân sách Trung ương cấp</t>
        </is>
      </c>
      <c r="AC1" s="2"/>
      <c r="AD1" s="2">
        <v>0</v>
      </c>
    </row>
    <row r="2" spans="1:30" ht="78.75" x14ac:dyDescent="0.25">
      <c r="A2" s="1" t="inlineStr">
        <is>
          <t/>
        </is>
      </c>
      <c r="B2" s="1" t="inlineStr">
        <is>
          <t/>
        </is>
      </c>
      <c r="C2" s="1" t="inlineStr">
        <is>
          <t/>
        </is>
      </c>
      <c r="D2" s="3" t="inlineStr">
        <is>
          <t>Kế hoạch năm 2026 đã giao</t>
        </is>
      </c>
      <c r="E2" s="4" t="inlineStr">
        <is>
          <t>Điều chỉnh tăng trưởng</t>
        </is>
      </c>
      <c r="F2" s="3" t="inlineStr">
        <is>
          <t>0</t>
        </is>
      </c>
      <c r="G2" s="3" t="inlineStr">
        <is>
          <t>Kế hoạch năm 2026 đã giao</t>
        </is>
      </c>
      <c r="H2" s="3" t="inlineStr">
        <is>
          <t>Điều chỉnh tăng trưởng</t>
        </is>
      </c>
      <c r="I2" s="3" t="inlineStr">
        <is>
          <t>0</t>
        </is>
      </c>
      <c r="J2" s="3" t="inlineStr">
        <is>
          <t>Kế hoạch năm 2026 đã giao</t>
        </is>
      </c>
      <c r="K2" s="3" t="inlineStr">
        <is>
          <t>Điều chỉnh tăng trưởng</t>
        </is>
      </c>
      <c r="L2" s="3" t="inlineStr">
        <is>
          <t>0</t>
        </is>
      </c>
      <c r="M2" s="3" t="inlineStr">
        <is>
          <t>Kế hoạch năm 2026 đã giao</t>
        </is>
      </c>
      <c r="N2" s="3" t="inlineStr">
        <is>
          <t>Điều chỉnh tăng trưởng</t>
        </is>
      </c>
      <c r="O2" s="3" t="inlineStr">
        <is>
          <t>0</t>
        </is>
      </c>
      <c r="P2" s="3" t="inlineStr">
        <is>
          <t>Kế hoạch năm 2026 đã giao</t>
        </is>
      </c>
      <c r="Q2" s="3" t="inlineStr">
        <is>
          <t>Điều chỉnh tăng trưởng</t>
        </is>
      </c>
      <c r="R2" s="3" t="inlineStr">
        <is>
          <t>0</t>
        </is>
      </c>
      <c r="S2" s="3" t="inlineStr">
        <is>
          <t>Kế hoạch năm 2026 đã giao</t>
        </is>
      </c>
      <c r="T2" s="3" t="inlineStr">
        <is>
          <t>Điều chỉnh tăng trưởng</t>
        </is>
      </c>
      <c r="U2" s="3" t="inlineStr">
        <is>
          <t>0</t>
        </is>
      </c>
      <c r="V2" s="3" t="inlineStr">
        <is>
          <t>Kế hoạch năm 2026 đã giao</t>
        </is>
      </c>
      <c r="W2" s="4" t="inlineStr">
        <is>
          <t>Điều chỉnh tăng trưởng</t>
        </is>
      </c>
      <c r="X2" s="3" t="inlineStr">
        <is>
          <t>0</t>
        </is>
      </c>
      <c r="Y2" s="3" t="inlineStr">
        <is>
          <t>Kế hoạch năm 2026 đã giao</t>
        </is>
      </c>
      <c r="Z2" s="3" t="inlineStr">
        <is>
          <t>Điều chỉnh tăng trưởng</t>
        </is>
      </c>
      <c r="AA2" s="3" t="inlineStr">
        <is>
          <t>0</t>
        </is>
      </c>
      <c r="AB2" s="3" t="inlineStr">
        <is>
          <t>Kế hoạch năm 2026 đã giao</t>
        </is>
      </c>
      <c r="AC2" s="3" t="inlineStr">
        <is>
          <t>Điều chỉnh tăng trưởng</t>
        </is>
      </c>
      <c r="AD2" s="3" t="inlineStr">
        <is>
          <t>0</t>
        </is>
      </c>
    </row>
    <row r="3" spans="1:30" ht="78.75" x14ac:dyDescent="0.25">
      <c r="A3" s="5" t="inlineStr">
        <is>
          <t>1</t>
        </is>
      </c>
      <c r="B3" s="6" t="inlineStr">
        <is>
          <t>Phòng giao dịch NHCSXH Phú Ninh</t>
        </is>
      </c>
      <c r="C3" s="6" t="inlineStr">
        <is>
          <t>Xã Chiên Đàn</t>
        </is>
      </c>
      <c r="D3" s="7">
        <v>120</v>
      </c>
      <c r="E3" s="8">
        <v>0</v>
      </c>
      <c r="F3" s="9">
        <f>D3+E3</f>
        <v>120</v>
      </c>
      <c r="G3" s="10">
        <v>9854.03</v>
      </c>
      <c r="H3" s="8">
        <v>0</v>
      </c>
      <c r="I3" s="10">
        <f>G3+H3</f>
        <v>9854.03</v>
      </c>
      <c r="J3" s="10">
        <v>28186.3</v>
      </c>
      <c r="K3" s="8">
        <v>0</v>
      </c>
      <c r="L3" s="10">
        <f>J3+K3</f>
        <v>28186.3</v>
      </c>
      <c r="M3" s="10">
        <v>0</v>
      </c>
      <c r="N3" s="8">
        <v>0</v>
      </c>
      <c r="O3" s="10">
        <f>M3+N3</f>
        <v>0</v>
      </c>
      <c r="P3" s="10">
        <v>35930.92</v>
      </c>
      <c r="Q3" s="11">
        <v>2500</v>
      </c>
      <c r="R3" s="10">
        <f>P3+Q3</f>
        <v>38430.92</v>
      </c>
      <c r="S3" s="10">
        <v>7432.2</v>
      </c>
      <c r="T3" s="11">
        <v>1500</v>
      </c>
      <c r="U3" s="10">
        <f>S3+T3</f>
        <v>8932.2</v>
      </c>
      <c r="V3" s="7">
        <v>0</v>
      </c>
      <c r="W3" s="12">
        <v>0</v>
      </c>
      <c r="X3" s="9">
        <f>V3+W3</f>
        <v>0</v>
      </c>
      <c r="Y3" s="10">
        <v>33993.5</v>
      </c>
      <c r="Z3" s="13">
        <v>4000</v>
      </c>
      <c r="AA3" s="10">
        <f>Y3+Z3</f>
        <v>37993.5</v>
      </c>
      <c r="AB3" s="10">
        <v>945.81</v>
      </c>
      <c r="AC3" s="14">
        <v>0</v>
      </c>
      <c r="AD3" s="10">
        <f>AB3+AC3</f>
        <v>945.81</v>
      </c>
    </row>
    <row r="4" spans="1:30" ht="78.75" x14ac:dyDescent="0.25">
      <c r="A4" s="5" t="inlineStr">
        <is>
          <t>2</t>
        </is>
      </c>
      <c r="B4" s="6" t="inlineStr">
        <is>
          <t>Phòng giao dịch NHCSXH Phú Ninh</t>
        </is>
      </c>
      <c r="C4" s="6" t="inlineStr">
        <is>
          <t>Xã Phú Ninh</t>
        </is>
      </c>
      <c r="D4" s="7">
        <v>67</v>
      </c>
      <c r="E4" s="8">
        <v>0</v>
      </c>
      <c r="F4" s="9">
        <f t="shared" ref="F4:F67" si="0">D4+E4</f>
        <v>67</v>
      </c>
      <c r="G4" s="10">
        <v>25287.46</v>
      </c>
      <c r="H4" s="8">
        <v>0</v>
      </c>
      <c r="I4" s="10">
        <f t="shared" ref="I4:I67" si="1">G4+H4</f>
        <v>25287.46</v>
      </c>
      <c r="J4" s="10">
        <v>9775.95</v>
      </c>
      <c r="K4" s="8">
        <v>0</v>
      </c>
      <c r="L4" s="10">
        <f t="shared" ref="L4:L67" si="2">J4+K4</f>
        <v>9775.95</v>
      </c>
      <c r="M4" s="10">
        <v>0</v>
      </c>
      <c r="N4" s="8">
        <v>0</v>
      </c>
      <c r="O4" s="10">
        <f t="shared" ref="O4:O67" si="3">M4+N4</f>
        <v>0</v>
      </c>
      <c r="P4" s="10">
        <v>28703.97</v>
      </c>
      <c r="Q4" s="11">
        <v>1500</v>
      </c>
      <c r="R4" s="10">
        <f t="shared" ref="R4:R67" si="4">P4+Q4</f>
        <v>30203.97</v>
      </c>
      <c r="S4" s="10">
        <v>4177.2</v>
      </c>
      <c r="T4" s="11">
        <v>1000</v>
      </c>
      <c r="U4" s="10">
        <f t="shared" ref="U4:U67" si="5">S4+T4</f>
        <v>5177.2</v>
      </c>
      <c r="V4" s="7">
        <v>45</v>
      </c>
      <c r="W4" s="12">
        <v>0</v>
      </c>
      <c r="X4" s="9">
        <f t="shared" ref="X4:X67" si="6">V4+W4</f>
        <v>45</v>
      </c>
      <c r="Y4" s="10">
        <v>19719.87</v>
      </c>
      <c r="Z4" s="13">
        <v>2000</v>
      </c>
      <c r="AA4" s="10">
        <f t="shared" ref="AA4:AA67" si="7">Y4+Z4</f>
        <v>21719.87</v>
      </c>
      <c r="AB4" s="10">
        <v>845.81</v>
      </c>
      <c r="AC4" s="14">
        <v>0</v>
      </c>
      <c r="AD4" s="10">
        <f t="shared" ref="AD4:AD67" si="8">AB4+AC4</f>
        <v>845.81</v>
      </c>
    </row>
    <row r="5" spans="1:30" ht="78.75" x14ac:dyDescent="0.25">
      <c r="A5" s="5" t="inlineStr">
        <is>
          <t>3</t>
        </is>
      </c>
      <c r="B5" s="6" t="inlineStr">
        <is>
          <t>Phòng giao dịch NHCSXH Phú Ninh</t>
        </is>
      </c>
      <c r="C5" s="6" t="inlineStr">
        <is>
          <t>Xã Tây Hồ</t>
        </is>
      </c>
      <c r="D5" s="7">
        <v>177</v>
      </c>
      <c r="E5" s="8">
        <v>0</v>
      </c>
      <c r="F5" s="9">
        <v>177</v>
      </c>
      <c r="G5" s="10">
        <v>12082.2</v>
      </c>
      <c r="H5" s="8">
        <v>0</v>
      </c>
      <c r="I5" s="10">
        <v>12082.2</v>
      </c>
      <c r="J5" s="10">
        <v>12251.14</v>
      </c>
      <c r="K5" s="8">
        <v>0</v>
      </c>
      <c r="L5" s="10">
        <v>12251.14</v>
      </c>
      <c r="M5" s="10">
        <v>0</v>
      </c>
      <c r="N5" s="8">
        <v>0</v>
      </c>
      <c r="O5" s="10">
        <v>0</v>
      </c>
      <c r="P5" s="10">
        <v>46314.81</v>
      </c>
      <c r="Q5" s="11">
        <v>2000</v>
      </c>
      <c r="R5" s="10">
        <v>48314.81</v>
      </c>
      <c r="S5" s="10">
        <v>11150.3</v>
      </c>
      <c r="T5" s="11">
        <v>1500</v>
      </c>
      <c r="U5" s="10">
        <v>12650.3</v>
      </c>
      <c r="V5" s="7">
        <v>0</v>
      </c>
      <c r="W5" s="12">
        <v>0</v>
      </c>
      <c r="X5" s="9">
        <v>0</v>
      </c>
      <c r="Y5" s="10">
        <v>42063.7</v>
      </c>
      <c r="Z5" s="13">
        <v>4000</v>
      </c>
      <c r="AA5" s="10">
        <v>46063.7</v>
      </c>
      <c r="AB5" s="10">
        <v>2043.43</v>
      </c>
      <c r="AC5" s="14">
        <v>0</v>
      </c>
      <c r="AD5" s="10">
        <v>2043.43</v>
      </c>
    </row>
    <row r="6" spans="1:30" ht="78.75" x14ac:dyDescent="0.25">
      <c r="A6" s="5" t="inlineStr">
        <is>
          <t>4</t>
        </is>
      </c>
      <c r="B6" s="6" t="inlineStr">
        <is>
          <t>Phòng giao dịch NHCSXH Tây Giang</t>
        </is>
      </c>
      <c r="C6" s="6" t="inlineStr">
        <is>
          <t>Xã A Vương</t>
        </is>
      </c>
      <c r="D6" s="7">
        <v>43517.4</v>
      </c>
      <c r="E6" s="11">
        <v>1500</v>
      </c>
      <c r="F6" s="9">
        <v>45017.4</v>
      </c>
      <c r="G6" s="10">
        <v>1402</v>
      </c>
      <c r="H6" s="8">
        <v>0</v>
      </c>
      <c r="I6" s="10">
        <v>1402</v>
      </c>
      <c r="J6" s="10">
        <v>1719</v>
      </c>
      <c r="K6" s="8">
        <v>0</v>
      </c>
      <c r="L6" s="10">
        <v>1719</v>
      </c>
      <c r="M6" s="10">
        <v>13536.4</v>
      </c>
      <c r="N6" s="11">
        <v>1000</v>
      </c>
      <c r="O6" s="10">
        <v>14536.4</v>
      </c>
      <c r="P6" s="10">
        <v>0</v>
      </c>
      <c r="Q6" s="8">
        <v>0</v>
      </c>
      <c r="R6" s="10">
        <v>0</v>
      </c>
      <c r="S6" s="10">
        <v>0</v>
      </c>
      <c r="T6" s="8">
        <v>0</v>
      </c>
      <c r="U6" s="10">
        <v>0</v>
      </c>
      <c r="V6" s="7">
        <v>0</v>
      </c>
      <c r="W6" s="12">
        <v>0</v>
      </c>
      <c r="X6" s="9">
        <v>0</v>
      </c>
      <c r="Y6" s="10">
        <v>12629</v>
      </c>
      <c r="Z6" s="12">
        <v>0</v>
      </c>
      <c r="AA6" s="10">
        <v>12629</v>
      </c>
      <c r="AB6" s="10">
        <v>340</v>
      </c>
      <c r="AC6" s="14">
        <v>0</v>
      </c>
      <c r="AD6" s="10">
        <v>340</v>
      </c>
    </row>
    <row r="7" spans="1:30" ht="78.75" x14ac:dyDescent="0.25">
      <c r="A7" s="5" t="inlineStr">
        <is>
          <t>5</t>
        </is>
      </c>
      <c r="B7" s="6" t="inlineStr">
        <is>
          <t>Phòng giao dịch NHCSXH Tây Giang</t>
        </is>
      </c>
      <c r="C7" s="6" t="inlineStr">
        <is>
          <t>Xã Hùng Sơn</t>
        </is>
      </c>
      <c r="D7" s="7">
        <v>56897.4</v>
      </c>
      <c r="E7" s="11">
        <v>2000</v>
      </c>
      <c r="F7" s="9">
        <v>58897.4</v>
      </c>
      <c r="G7" s="10">
        <v>206</v>
      </c>
      <c r="H7" s="8">
        <v>0</v>
      </c>
      <c r="I7" s="10">
        <v>206</v>
      </c>
      <c r="J7" s="10">
        <v>2555</v>
      </c>
      <c r="K7" s="8">
        <v>0</v>
      </c>
      <c r="L7" s="10">
        <v>2555</v>
      </c>
      <c r="M7" s="10">
        <v>16045.26</v>
      </c>
      <c r="N7" s="11">
        <v>1000</v>
      </c>
      <c r="O7" s="10">
        <v>17045.26</v>
      </c>
      <c r="P7" s="10">
        <v>0</v>
      </c>
      <c r="Q7" s="8">
        <v>0</v>
      </c>
      <c r="R7" s="10">
        <v>0</v>
      </c>
      <c r="S7" s="10">
        <v>0</v>
      </c>
      <c r="T7" s="8">
        <v>0</v>
      </c>
      <c r="U7" s="10">
        <v>0</v>
      </c>
      <c r="V7" s="7">
        <v>0</v>
      </c>
      <c r="W7" s="12">
        <v>0</v>
      </c>
      <c r="X7" s="9">
        <v>0</v>
      </c>
      <c r="Y7" s="10">
        <v>13133</v>
      </c>
      <c r="Z7" s="12">
        <v>0</v>
      </c>
      <c r="AA7" s="10">
        <v>13133</v>
      </c>
      <c r="AB7" s="10">
        <v>200</v>
      </c>
      <c r="AC7" s="14">
        <v>0</v>
      </c>
      <c r="AD7" s="10">
        <v>200</v>
      </c>
    </row>
    <row r="8" spans="1:30" ht="78.75" x14ac:dyDescent="0.25">
      <c r="A8" s="5" t="inlineStr">
        <is>
          <t>6</t>
        </is>
      </c>
      <c r="B8" s="6" t="inlineStr">
        <is>
          <t>Phòng giao dịch NHCSXH Tây Giang</t>
        </is>
      </c>
      <c r="C8" s="6" t="inlineStr">
        <is>
          <t>Xã Tây Giang</t>
        </is>
      </c>
      <c r="D8" s="7">
        <v>51583.41</v>
      </c>
      <c r="E8" s="5">
        <v>500</v>
      </c>
      <c r="F8" s="9">
        <v>52083.41</v>
      </c>
      <c r="G8" s="10">
        <v>2020.8</v>
      </c>
      <c r="H8" s="8">
        <v>0</v>
      </c>
      <c r="I8" s="10">
        <v>2020.8</v>
      </c>
      <c r="J8" s="10">
        <v>1239.5</v>
      </c>
      <c r="K8" s="8">
        <v>0</v>
      </c>
      <c r="L8" s="10">
        <v>1239.5</v>
      </c>
      <c r="M8" s="10">
        <v>5225.38</v>
      </c>
      <c r="N8" s="8">
        <v>0</v>
      </c>
      <c r="O8" s="10">
        <v>5225.38</v>
      </c>
      <c r="P8" s="10">
        <v>0</v>
      </c>
      <c r="Q8" s="8">
        <v>0</v>
      </c>
      <c r="R8" s="10">
        <v>0</v>
      </c>
      <c r="S8" s="10">
        <v>75</v>
      </c>
      <c r="T8" s="5">
        <v>190</v>
      </c>
      <c r="U8" s="10">
        <v>265</v>
      </c>
      <c r="V8" s="7">
        <v>100</v>
      </c>
      <c r="W8" s="12">
        <v>0</v>
      </c>
      <c r="X8" s="9">
        <v>100</v>
      </c>
      <c r="Y8" s="10">
        <v>19259</v>
      </c>
      <c r="Z8" s="12">
        <v>0</v>
      </c>
      <c r="AA8" s="10">
        <v>19259</v>
      </c>
      <c r="AB8" s="10">
        <v>374</v>
      </c>
      <c r="AC8" s="14">
        <v>0</v>
      </c>
      <c r="AD8" s="10">
        <v>374</v>
      </c>
    </row>
    <row r="9" spans="1:30" ht="78.75" x14ac:dyDescent="0.25">
      <c r="A9" s="5" t="inlineStr">
        <is>
          <t>7</t>
        </is>
      </c>
      <c r="B9" s="6" t="inlineStr">
        <is>
          <t>Phòng giao dịch NHCSXH Nam Trà My</t>
        </is>
      </c>
      <c r="C9" s="6" t="inlineStr">
        <is>
          <t>Xã Nam Trà My</t>
        </is>
      </c>
      <c r="D9" s="7">
        <v>10303.88</v>
      </c>
      <c r="E9" s="5">
        <v>100</v>
      </c>
      <c r="F9" s="9">
        <v>10403.88</v>
      </c>
      <c r="G9" s="10">
        <v>5015</v>
      </c>
      <c r="H9" s="5">
        <v>100</v>
      </c>
      <c r="I9" s="10">
        <v>5115</v>
      </c>
      <c r="J9" s="10">
        <v>6792.5</v>
      </c>
      <c r="K9" s="5">
        <v>100</v>
      </c>
      <c r="L9" s="10">
        <v>6892.5</v>
      </c>
      <c r="M9" s="10">
        <v>14285.59</v>
      </c>
      <c r="N9" s="5">
        <v>200</v>
      </c>
      <c r="O9" s="10">
        <v>14485.59</v>
      </c>
      <c r="P9" s="10">
        <v>0</v>
      </c>
      <c r="Q9" s="8">
        <v>0</v>
      </c>
      <c r="R9" s="10">
        <v>0</v>
      </c>
      <c r="S9" s="10">
        <v>62</v>
      </c>
      <c r="T9" s="8">
        <v>0</v>
      </c>
      <c r="U9" s="10">
        <v>62</v>
      </c>
      <c r="V9" s="7">
        <v>291</v>
      </c>
      <c r="W9" s="12">
        <v>0</v>
      </c>
      <c r="X9" s="9">
        <v>291</v>
      </c>
      <c r="Y9" s="10">
        <v>15467.5</v>
      </c>
      <c r="Z9" s="12">
        <v>0</v>
      </c>
      <c r="AA9" s="10">
        <v>15467.5</v>
      </c>
      <c r="AB9" s="10">
        <v>1014.1</v>
      </c>
      <c r="AC9" s="14">
        <v>0</v>
      </c>
      <c r="AD9" s="10">
        <v>1014.1</v>
      </c>
    </row>
    <row r="10" spans="1:30" ht="78.75" x14ac:dyDescent="0.25">
      <c r="A10" s="5" t="inlineStr">
        <is>
          <t>8</t>
        </is>
      </c>
      <c r="B10" s="6" t="inlineStr">
        <is>
          <t>Phòng giao dịch NHCSXH Nam Trà My</t>
        </is>
      </c>
      <c r="C10" s="6" t="inlineStr">
        <is>
          <t>Xã Trà Leng</t>
        </is>
      </c>
      <c r="D10" s="7">
        <v>10279.2</v>
      </c>
      <c r="E10" s="5">
        <v>100</v>
      </c>
      <c r="F10" s="9">
        <v>10379.2</v>
      </c>
      <c r="G10" s="10">
        <v>68</v>
      </c>
      <c r="H10" s="5">
        <v>50</v>
      </c>
      <c r="I10" s="10">
        <v>118</v>
      </c>
      <c r="J10" s="10">
        <v>2434.4</v>
      </c>
      <c r="K10" s="5">
        <v>100</v>
      </c>
      <c r="L10" s="10">
        <v>2534.4</v>
      </c>
      <c r="M10" s="10">
        <v>18013</v>
      </c>
      <c r="N10" s="5">
        <v>200</v>
      </c>
      <c r="O10" s="10">
        <v>18213</v>
      </c>
      <c r="P10" s="10">
        <v>0</v>
      </c>
      <c r="Q10" s="8">
        <v>0</v>
      </c>
      <c r="R10" s="10">
        <v>0</v>
      </c>
      <c r="S10" s="10">
        <v>0</v>
      </c>
      <c r="T10" s="8">
        <v>0</v>
      </c>
      <c r="U10" s="10">
        <v>0</v>
      </c>
      <c r="V10" s="7">
        <v>0</v>
      </c>
      <c r="W10" s="12">
        <v>0</v>
      </c>
      <c r="X10" s="9">
        <v>0</v>
      </c>
      <c r="Y10" s="10">
        <v>7545.3</v>
      </c>
      <c r="Z10" s="12">
        <v>0</v>
      </c>
      <c r="AA10" s="10">
        <v>7545.3</v>
      </c>
      <c r="AB10" s="10">
        <v>242</v>
      </c>
      <c r="AC10" s="14">
        <v>0</v>
      </c>
      <c r="AD10" s="10">
        <v>242</v>
      </c>
    </row>
    <row r="11" spans="1:30" ht="78.75" x14ac:dyDescent="0.25">
      <c r="A11" s="5" t="inlineStr">
        <is>
          <t>9</t>
        </is>
      </c>
      <c r="B11" s="6" t="inlineStr">
        <is>
          <t>Phòng giao dịch NHCSXH Nam Trà My</t>
        </is>
      </c>
      <c r="C11" s="6" t="inlineStr">
        <is>
          <t>Xã Trà Linh</t>
        </is>
      </c>
      <c r="D11" s="7">
        <v>9049.32</v>
      </c>
      <c r="E11" s="5">
        <v>100</v>
      </c>
      <c r="F11" s="9">
        <v>9149.32</v>
      </c>
      <c r="G11" s="10">
        <v>0</v>
      </c>
      <c r="H11" s="8">
        <v>0</v>
      </c>
      <c r="I11" s="10">
        <v>0</v>
      </c>
      <c r="J11" s="10">
        <v>4963.5</v>
      </c>
      <c r="K11" s="5">
        <v>100</v>
      </c>
      <c r="L11" s="10">
        <v>5063.5</v>
      </c>
      <c r="M11" s="10">
        <v>17709.74</v>
      </c>
      <c r="N11" s="5">
        <v>200</v>
      </c>
      <c r="O11" s="10">
        <v>17909.74</v>
      </c>
      <c r="P11" s="10">
        <v>0</v>
      </c>
      <c r="Q11" s="8">
        <v>0</v>
      </c>
      <c r="R11" s="10">
        <v>0</v>
      </c>
      <c r="S11" s="10">
        <v>0</v>
      </c>
      <c r="T11" s="8">
        <v>0</v>
      </c>
      <c r="U11" s="10">
        <v>0</v>
      </c>
      <c r="V11" s="7">
        <v>0</v>
      </c>
      <c r="W11" s="12">
        <v>0</v>
      </c>
      <c r="X11" s="9">
        <v>0</v>
      </c>
      <c r="Y11" s="10">
        <v>5548.5</v>
      </c>
      <c r="Z11" s="12">
        <v>0</v>
      </c>
      <c r="AA11" s="10">
        <v>5548.5</v>
      </c>
      <c r="AB11" s="10">
        <v>0</v>
      </c>
      <c r="AC11" s="14">
        <v>0</v>
      </c>
      <c r="AD11" s="10">
        <v>0</v>
      </c>
    </row>
    <row r="12" spans="1:30" ht="78.75" x14ac:dyDescent="0.25">
      <c r="A12" s="5" t="inlineStr">
        <is>
          <t>10</t>
        </is>
      </c>
      <c r="B12" s="6" t="inlineStr">
        <is>
          <t>Phòng giao dịch NHCSXH Nam Trà My</t>
        </is>
      </c>
      <c r="C12" s="6" t="inlineStr">
        <is>
          <t>Xã Trà Tập</t>
        </is>
      </c>
      <c r="D12" s="7">
        <v>13168.93</v>
      </c>
      <c r="E12" s="5">
        <v>150</v>
      </c>
      <c r="F12" s="9">
        <v>13318.93</v>
      </c>
      <c r="G12" s="10">
        <v>566</v>
      </c>
      <c r="H12" s="5">
        <v>250</v>
      </c>
      <c r="I12" s="10">
        <v>816</v>
      </c>
      <c r="J12" s="10">
        <v>3781.8</v>
      </c>
      <c r="K12" s="5">
        <v>100</v>
      </c>
      <c r="L12" s="10">
        <v>3881.8</v>
      </c>
      <c r="M12" s="10">
        <v>15431.5</v>
      </c>
      <c r="N12" s="5">
        <v>200</v>
      </c>
      <c r="O12" s="10">
        <v>15631.5</v>
      </c>
      <c r="P12" s="10">
        <v>0</v>
      </c>
      <c r="Q12" s="8">
        <v>0</v>
      </c>
      <c r="R12" s="10">
        <v>0</v>
      </c>
      <c r="S12" s="10">
        <v>0</v>
      </c>
      <c r="T12" s="8">
        <v>0</v>
      </c>
      <c r="U12" s="10">
        <v>0</v>
      </c>
      <c r="V12" s="7">
        <v>100</v>
      </c>
      <c r="W12" s="12">
        <v>0</v>
      </c>
      <c r="X12" s="9">
        <v>100</v>
      </c>
      <c r="Y12" s="10">
        <v>6593</v>
      </c>
      <c r="Z12" s="12">
        <v>0</v>
      </c>
      <c r="AA12" s="10">
        <v>6593</v>
      </c>
      <c r="AB12" s="10">
        <v>146.98</v>
      </c>
      <c r="AC12" s="14">
        <v>0</v>
      </c>
      <c r="AD12" s="10">
        <v>146.98</v>
      </c>
    </row>
    <row r="13" spans="1:30" ht="78.75" x14ac:dyDescent="0.25">
      <c r="A13" s="5" t="inlineStr">
        <is>
          <t>11</t>
        </is>
      </c>
      <c r="B13" s="6" t="inlineStr">
        <is>
          <t>Phòng giao dịch NHCSXH Nam Trà My</t>
        </is>
      </c>
      <c r="C13" s="6" t="inlineStr">
        <is>
          <t>Xã Trà Vân</t>
        </is>
      </c>
      <c r="D13" s="7">
        <v>14193.57</v>
      </c>
      <c r="E13" s="5">
        <v>100</v>
      </c>
      <c r="F13" s="9">
        <v>14293.57</v>
      </c>
      <c r="G13" s="10">
        <v>0</v>
      </c>
      <c r="H13" s="8">
        <v>0</v>
      </c>
      <c r="I13" s="10">
        <v>0</v>
      </c>
      <c r="J13" s="10">
        <v>2937</v>
      </c>
      <c r="K13" s="5">
        <v>100</v>
      </c>
      <c r="L13" s="10">
        <v>3037</v>
      </c>
      <c r="M13" s="10">
        <v>11114.3</v>
      </c>
      <c r="N13" s="5">
        <v>200</v>
      </c>
      <c r="O13" s="10">
        <v>11314.3</v>
      </c>
      <c r="P13" s="10">
        <v>0</v>
      </c>
      <c r="Q13" s="8">
        <v>0</v>
      </c>
      <c r="R13" s="10">
        <v>0</v>
      </c>
      <c r="S13" s="10">
        <v>50</v>
      </c>
      <c r="T13" s="8">
        <v>0</v>
      </c>
      <c r="U13" s="10">
        <v>50</v>
      </c>
      <c r="V13" s="7">
        <v>0</v>
      </c>
      <c r="W13" s="12">
        <v>0</v>
      </c>
      <c r="X13" s="9">
        <v>0</v>
      </c>
      <c r="Y13" s="10">
        <v>5818</v>
      </c>
      <c r="Z13" s="12">
        <v>0</v>
      </c>
      <c r="AA13" s="10">
        <v>5818</v>
      </c>
      <c r="AB13" s="10">
        <v>50</v>
      </c>
      <c r="AC13" s="14">
        <v>0</v>
      </c>
      <c r="AD13" s="10">
        <v>50</v>
      </c>
    </row>
    <row r="14" spans="1:30" ht="78.75" x14ac:dyDescent="0.25">
      <c r="A14" s="5" t="inlineStr">
        <is>
          <t>12</t>
        </is>
      </c>
      <c r="B14" s="6" t="inlineStr">
        <is>
          <t>Phòng giao dịch NHCSXH Điện Bàn</t>
        </is>
      </c>
      <c r="C14" s="6" t="inlineStr">
        <is>
          <t>Phường An Thắng</t>
        </is>
      </c>
      <c r="D14" s="7">
        <v>95</v>
      </c>
      <c r="E14" s="8">
        <v>0</v>
      </c>
      <c r="F14" s="9">
        <v>95</v>
      </c>
      <c r="G14" s="10">
        <v>32239.8</v>
      </c>
      <c r="H14" s="8">
        <v>0</v>
      </c>
      <c r="I14" s="10">
        <v>32239.8</v>
      </c>
      <c r="J14" s="10">
        <v>44234.92</v>
      </c>
      <c r="K14" s="8">
        <v>0</v>
      </c>
      <c r="L14" s="10">
        <v>44234.92</v>
      </c>
      <c r="M14" s="10">
        <v>0</v>
      </c>
      <c r="N14" s="8">
        <v>0</v>
      </c>
      <c r="O14" s="10">
        <v>0</v>
      </c>
      <c r="P14" s="10">
        <v>2673.76</v>
      </c>
      <c r="Q14" s="8">
        <v>0</v>
      </c>
      <c r="R14" s="10">
        <v>2673.76</v>
      </c>
      <c r="S14" s="10">
        <v>14451</v>
      </c>
      <c r="T14" s="11">
        <v>1500</v>
      </c>
      <c r="U14" s="10">
        <v>15951</v>
      </c>
      <c r="V14" s="7">
        <v>0</v>
      </c>
      <c r="W14" s="12">
        <v>0</v>
      </c>
      <c r="X14" s="9">
        <v>0</v>
      </c>
      <c r="Y14" s="10">
        <v>20170.99</v>
      </c>
      <c r="Z14" s="13">
        <v>3000</v>
      </c>
      <c r="AA14" s="10">
        <v>23170.99</v>
      </c>
      <c r="AB14" s="10">
        <v>494</v>
      </c>
      <c r="AC14" s="14">
        <v>0</v>
      </c>
      <c r="AD14" s="10">
        <v>494</v>
      </c>
    </row>
    <row r="15" spans="1:30" ht="78.75" x14ac:dyDescent="0.25">
      <c r="A15" s="5" t="inlineStr">
        <is>
          <t>13</t>
        </is>
      </c>
      <c r="B15" s="6" t="inlineStr">
        <is>
          <t>Phòng giao dịch NHCSXH Điện Bàn</t>
        </is>
      </c>
      <c r="C15" s="6" t="inlineStr">
        <is>
          <t>Xã Gò Nổi</t>
        </is>
      </c>
      <c r="D15" s="7">
        <v>47</v>
      </c>
      <c r="E15" s="8">
        <v>0</v>
      </c>
      <c r="F15" s="9">
        <v>47</v>
      </c>
      <c r="G15" s="10">
        <v>36808.98</v>
      </c>
      <c r="H15" s="8">
        <v>0</v>
      </c>
      <c r="I15" s="10">
        <v>36808.98</v>
      </c>
      <c r="J15" s="10">
        <v>13608.49</v>
      </c>
      <c r="K15" s="8">
        <v>0</v>
      </c>
      <c r="L15" s="10">
        <v>13608.49</v>
      </c>
      <c r="M15" s="10">
        <v>0</v>
      </c>
      <c r="N15" s="8">
        <v>0</v>
      </c>
      <c r="O15" s="10">
        <v>0</v>
      </c>
      <c r="P15" s="10">
        <v>28450.96</v>
      </c>
      <c r="Q15" s="11">
        <v>2500</v>
      </c>
      <c r="R15" s="10">
        <v>30950.96</v>
      </c>
      <c r="S15" s="10">
        <v>11533.4</v>
      </c>
      <c r="T15" s="11">
        <v>2000</v>
      </c>
      <c r="U15" s="10">
        <v>13533.4</v>
      </c>
      <c r="V15" s="7">
        <v>45</v>
      </c>
      <c r="W15" s="12">
        <v>0</v>
      </c>
      <c r="X15" s="9">
        <v>45</v>
      </c>
      <c r="Y15" s="10">
        <v>13460</v>
      </c>
      <c r="Z15" s="13">
        <v>3000</v>
      </c>
      <c r="AA15" s="10">
        <v>16460</v>
      </c>
      <c r="AB15" s="10">
        <v>154.5</v>
      </c>
      <c r="AC15" s="14">
        <v>0</v>
      </c>
      <c r="AD15" s="10">
        <v>154.5</v>
      </c>
    </row>
    <row r="16" spans="1:30" ht="78.75" x14ac:dyDescent="0.25">
      <c r="A16" s="5" t="inlineStr">
        <is>
          <t>14</t>
        </is>
      </c>
      <c r="B16" s="6" t="inlineStr">
        <is>
          <t>Phòng giao dịch NHCSXH Điện Bàn</t>
        </is>
      </c>
      <c r="C16" s="6" t="inlineStr">
        <is>
          <t>Phường Điện Bàn</t>
        </is>
      </c>
      <c r="D16" s="7">
        <v>9.25</v>
      </c>
      <c r="E16" s="8">
        <v>0</v>
      </c>
      <c r="F16" s="9">
        <v>9.25</v>
      </c>
      <c r="G16" s="10">
        <v>25</v>
      </c>
      <c r="H16" s="8">
        <v>0</v>
      </c>
      <c r="I16" s="10">
        <v>25</v>
      </c>
      <c r="J16" s="10">
        <v>373.5</v>
      </c>
      <c r="K16" s="8">
        <v>0</v>
      </c>
      <c r="L16" s="10">
        <v>373.5</v>
      </c>
      <c r="M16" s="10">
        <v>0</v>
      </c>
      <c r="N16" s="8">
        <v>0</v>
      </c>
      <c r="O16" s="10">
        <v>0</v>
      </c>
      <c r="P16" s="10">
        <v>3747.5</v>
      </c>
      <c r="Q16" s="8">
        <v>0</v>
      </c>
      <c r="R16" s="10">
        <v>3747.5</v>
      </c>
      <c r="S16" s="10">
        <v>14939.35</v>
      </c>
      <c r="T16" s="11">
        <v>1500</v>
      </c>
      <c r="U16" s="10">
        <v>16439.35</v>
      </c>
      <c r="V16" s="7">
        <v>171</v>
      </c>
      <c r="W16" s="12">
        <v>0</v>
      </c>
      <c r="X16" s="9">
        <v>171</v>
      </c>
      <c r="Y16" s="10">
        <v>19573.29</v>
      </c>
      <c r="Z16" s="13">
        <v>3000</v>
      </c>
      <c r="AA16" s="10">
        <v>22573.29</v>
      </c>
      <c r="AB16" s="10">
        <v>1754.84</v>
      </c>
      <c r="AC16" s="14">
        <v>0</v>
      </c>
      <c r="AD16" s="10">
        <v>1754.84</v>
      </c>
    </row>
    <row r="17" spans="1:30" ht="78.75" x14ac:dyDescent="0.25">
      <c r="A17" s="5" t="inlineStr">
        <is>
          <t>15</t>
        </is>
      </c>
      <c r="B17" s="6" t="inlineStr">
        <is>
          <t>Phòng giao dịch NHCSXH Điện Bàn</t>
        </is>
      </c>
      <c r="C17" s="6" t="inlineStr">
        <is>
          <t>Phường Điện Bàn Bắc</t>
        </is>
      </c>
      <c r="D17" s="7">
        <v>0</v>
      </c>
      <c r="E17" s="8">
        <v>0</v>
      </c>
      <c r="F17" s="9">
        <v>0</v>
      </c>
      <c r="G17" s="10">
        <v>7885</v>
      </c>
      <c r="H17" s="8">
        <v>0</v>
      </c>
      <c r="I17" s="10">
        <v>7885</v>
      </c>
      <c r="J17" s="10">
        <v>6279.85</v>
      </c>
      <c r="K17" s="8">
        <v>0</v>
      </c>
      <c r="L17" s="10">
        <v>6279.85</v>
      </c>
      <c r="M17" s="10">
        <v>0</v>
      </c>
      <c r="N17" s="8">
        <v>0</v>
      </c>
      <c r="O17" s="10">
        <v>0</v>
      </c>
      <c r="P17" s="10">
        <v>14442.8</v>
      </c>
      <c r="Q17" s="8">
        <v>0</v>
      </c>
      <c r="R17" s="10">
        <v>14442.8</v>
      </c>
      <c r="S17" s="10">
        <v>10907.83</v>
      </c>
      <c r="T17" s="11">
        <v>1500</v>
      </c>
      <c r="U17" s="10">
        <v>12407.83</v>
      </c>
      <c r="V17" s="7">
        <v>0</v>
      </c>
      <c r="W17" s="12">
        <v>0</v>
      </c>
      <c r="X17" s="9">
        <v>0</v>
      </c>
      <c r="Y17" s="10">
        <v>16598.97</v>
      </c>
      <c r="Z17" s="13">
        <v>3000</v>
      </c>
      <c r="AA17" s="10">
        <v>19598.97</v>
      </c>
      <c r="AB17" s="10">
        <v>164</v>
      </c>
      <c r="AC17" s="14">
        <v>0</v>
      </c>
      <c r="AD17" s="10">
        <v>164</v>
      </c>
    </row>
    <row r="18" spans="1:30" ht="78.75" x14ac:dyDescent="0.25">
      <c r="A18" s="5" t="inlineStr">
        <is>
          <t>16</t>
        </is>
      </c>
      <c r="B18" s="6" t="inlineStr">
        <is>
          <t>Phòng giao dịch NHCSXH Điện Bàn</t>
        </is>
      </c>
      <c r="C18" s="6" t="inlineStr">
        <is>
          <t>Xã Điện Bàn Tây</t>
        </is>
      </c>
      <c r="D18" s="7">
        <v>38</v>
      </c>
      <c r="E18" s="8">
        <v>0</v>
      </c>
      <c r="F18" s="9">
        <v>38</v>
      </c>
      <c r="G18" s="10">
        <v>5366.55</v>
      </c>
      <c r="H18" s="8">
        <v>0</v>
      </c>
      <c r="I18" s="10">
        <v>5366.55</v>
      </c>
      <c r="J18" s="10">
        <v>51416</v>
      </c>
      <c r="K18" s="8">
        <v>0</v>
      </c>
      <c r="L18" s="10">
        <v>51416</v>
      </c>
      <c r="M18" s="10">
        <v>0</v>
      </c>
      <c r="N18" s="8">
        <v>0</v>
      </c>
      <c r="O18" s="10">
        <v>0</v>
      </c>
      <c r="P18" s="10">
        <v>38568.01</v>
      </c>
      <c r="Q18" s="11">
        <v>3000</v>
      </c>
      <c r="R18" s="10">
        <v>41568.01</v>
      </c>
      <c r="S18" s="10">
        <v>17702.26</v>
      </c>
      <c r="T18" s="11">
        <v>2000</v>
      </c>
      <c r="U18" s="10">
        <v>19702.26</v>
      </c>
      <c r="V18" s="7">
        <v>100</v>
      </c>
      <c r="W18" s="12">
        <v>0</v>
      </c>
      <c r="X18" s="9">
        <v>100</v>
      </c>
      <c r="Y18" s="10">
        <v>18455.72</v>
      </c>
      <c r="Z18" s="13">
        <v>4000</v>
      </c>
      <c r="AA18" s="10">
        <v>22455.72</v>
      </c>
      <c r="AB18" s="10">
        <v>2728.5</v>
      </c>
      <c r="AC18" s="14">
        <v>0</v>
      </c>
      <c r="AD18" s="10">
        <v>2728.5</v>
      </c>
    </row>
    <row r="19" spans="1:30" ht="78.75" x14ac:dyDescent="0.25">
      <c r="A19" s="5" t="inlineStr">
        <is>
          <t>17</t>
        </is>
      </c>
      <c r="B19" s="6" t="inlineStr">
        <is>
          <t>Phòng giao dịch NHCSXH Điện Bàn</t>
        </is>
      </c>
      <c r="C19" s="6" t="inlineStr">
        <is>
          <t>Phường Điện Bàn Đông</t>
        </is>
      </c>
      <c r="D19" s="7">
        <v>17</v>
      </c>
      <c r="E19" s="8">
        <v>0</v>
      </c>
      <c r="F19" s="9">
        <v>17</v>
      </c>
      <c r="G19" s="10">
        <v>729.5</v>
      </c>
      <c r="H19" s="8">
        <v>0</v>
      </c>
      <c r="I19" s="10">
        <v>729.5</v>
      </c>
      <c r="J19" s="10">
        <v>10502.22</v>
      </c>
      <c r="K19" s="8">
        <v>0</v>
      </c>
      <c r="L19" s="10">
        <v>10502.22</v>
      </c>
      <c r="M19" s="10">
        <v>0</v>
      </c>
      <c r="N19" s="8">
        <v>0</v>
      </c>
      <c r="O19" s="10">
        <v>0</v>
      </c>
      <c r="P19" s="10">
        <v>0</v>
      </c>
      <c r="Q19" s="8">
        <v>0</v>
      </c>
      <c r="R19" s="10">
        <v>0</v>
      </c>
      <c r="S19" s="10">
        <v>20570.86</v>
      </c>
      <c r="T19" s="11">
        <v>1500</v>
      </c>
      <c r="U19" s="10">
        <v>22070.86</v>
      </c>
      <c r="V19" s="7">
        <v>148.5</v>
      </c>
      <c r="W19" s="12">
        <v>0</v>
      </c>
      <c r="X19" s="9">
        <v>148.5</v>
      </c>
      <c r="Y19" s="10">
        <v>32229.02</v>
      </c>
      <c r="Z19" s="13">
        <v>4000</v>
      </c>
      <c r="AA19" s="10">
        <v>36229.02</v>
      </c>
      <c r="AB19" s="10">
        <v>2263.81</v>
      </c>
      <c r="AC19" s="14">
        <v>0</v>
      </c>
      <c r="AD19" s="10">
        <v>2263.81</v>
      </c>
    </row>
    <row r="20" spans="1:30" ht="78.75" x14ac:dyDescent="0.25">
      <c r="A20" s="5" t="inlineStr">
        <is>
          <t>18</t>
        </is>
      </c>
      <c r="B20" s="6" t="inlineStr">
        <is>
          <t>Phòng giao dịch NHCSXH Duy Xuyên</t>
        </is>
      </c>
      <c r="C20" s="6" t="inlineStr">
        <is>
          <t>Xã Duy Nghĩa</t>
        </is>
      </c>
      <c r="D20" s="7">
        <v>702</v>
      </c>
      <c r="E20" s="5">
        <v>-100</v>
      </c>
      <c r="F20" s="9">
        <v>602</v>
      </c>
      <c r="G20" s="10">
        <v>17182.43</v>
      </c>
      <c r="H20" s="11">
        <v>-1078</v>
      </c>
      <c r="I20" s="10">
        <v>16104.43</v>
      </c>
      <c r="J20" s="10">
        <v>890</v>
      </c>
      <c r="K20" s="5">
        <v>-300</v>
      </c>
      <c r="L20" s="10">
        <v>590</v>
      </c>
      <c r="M20" s="10">
        <v>6983.15</v>
      </c>
      <c r="N20" s="11">
        <v>-6200</v>
      </c>
      <c r="O20" s="10">
        <v>783.15</v>
      </c>
      <c r="P20" s="10">
        <v>38327.1</v>
      </c>
      <c r="Q20" s="11">
        <v>1000</v>
      </c>
      <c r="R20" s="10">
        <v>39327.1</v>
      </c>
      <c r="S20" s="10">
        <v>7367.5</v>
      </c>
      <c r="T20" s="11">
        <v>1000</v>
      </c>
      <c r="U20" s="10">
        <v>8367.5</v>
      </c>
      <c r="V20" s="7">
        <v>147</v>
      </c>
      <c r="W20" s="15">
        <v>290</v>
      </c>
      <c r="X20" s="9">
        <v>437</v>
      </c>
      <c r="Y20" s="10">
        <v>23396.5</v>
      </c>
      <c r="Z20" s="13">
        <v>6000</v>
      </c>
      <c r="AA20" s="10">
        <v>29396.5</v>
      </c>
      <c r="AB20" s="10">
        <v>420.91</v>
      </c>
      <c r="AC20" s="14">
        <v>0</v>
      </c>
      <c r="AD20" s="10">
        <v>420.91</v>
      </c>
    </row>
    <row r="21" spans="1:30" ht="78.75" x14ac:dyDescent="0.25">
      <c r="A21" s="5" t="inlineStr">
        <is>
          <t>19</t>
        </is>
      </c>
      <c r="B21" s="6" t="inlineStr">
        <is>
          <t>Phòng giao dịch NHCSXH Duy Xuyên</t>
        </is>
      </c>
      <c r="C21" s="6" t="inlineStr">
        <is>
          <t>Xã Nam Phước</t>
        </is>
      </c>
      <c r="D21" s="7">
        <v>598</v>
      </c>
      <c r="E21" s="8">
        <v>0</v>
      </c>
      <c r="F21" s="9">
        <v>598</v>
      </c>
      <c r="G21" s="10">
        <v>36669.9</v>
      </c>
      <c r="H21" s="11">
        <v>-2000</v>
      </c>
      <c r="I21" s="10">
        <v>34669.9</v>
      </c>
      <c r="J21" s="10">
        <v>933</v>
      </c>
      <c r="K21" s="5">
        <v>-300</v>
      </c>
      <c r="L21" s="10">
        <v>633</v>
      </c>
      <c r="M21" s="10">
        <v>0</v>
      </c>
      <c r="N21" s="8">
        <v>0</v>
      </c>
      <c r="O21" s="10">
        <v>0</v>
      </c>
      <c r="P21" s="10">
        <v>33411</v>
      </c>
      <c r="Q21" s="11">
        <v>2000</v>
      </c>
      <c r="R21" s="10">
        <v>35411</v>
      </c>
      <c r="S21" s="10">
        <v>38551.46</v>
      </c>
      <c r="T21" s="11">
        <v>3000</v>
      </c>
      <c r="U21" s="10">
        <v>41551.46</v>
      </c>
      <c r="V21" s="7">
        <v>608</v>
      </c>
      <c r="W21" s="12">
        <v>0</v>
      </c>
      <c r="X21" s="9">
        <v>608</v>
      </c>
      <c r="Y21" s="10">
        <v>28014.2</v>
      </c>
      <c r="Z21" s="13">
        <v>9000</v>
      </c>
      <c r="AA21" s="10">
        <v>37014.2</v>
      </c>
      <c r="AB21" s="10">
        <v>6694.25</v>
      </c>
      <c r="AC21" s="14">
        <v>0</v>
      </c>
      <c r="AD21" s="10">
        <v>6694.25</v>
      </c>
    </row>
    <row r="22" spans="1:30" ht="78.75" x14ac:dyDescent="0.25">
      <c r="A22" s="5" t="inlineStr">
        <is>
          <t>20</t>
        </is>
      </c>
      <c r="B22" s="6" t="inlineStr">
        <is>
          <t>Phòng giao dịch NHCSXH Duy Xuyên</t>
        </is>
      </c>
      <c r="C22" s="6" t="inlineStr">
        <is>
          <t>Xã Duy Xuyên</t>
        </is>
      </c>
      <c r="D22" s="7">
        <v>104.5</v>
      </c>
      <c r="E22" s="8">
        <v>0</v>
      </c>
      <c r="F22" s="9">
        <v>104.5</v>
      </c>
      <c r="G22" s="10">
        <v>14107.22</v>
      </c>
      <c r="H22" s="5">
        <v>-600</v>
      </c>
      <c r="I22" s="10">
        <v>13507.22</v>
      </c>
      <c r="J22" s="10">
        <v>1255.07</v>
      </c>
      <c r="K22" s="5">
        <v>-400</v>
      </c>
      <c r="L22" s="10">
        <v>855.07</v>
      </c>
      <c r="M22" s="10">
        <v>0</v>
      </c>
      <c r="N22" s="8">
        <v>0</v>
      </c>
      <c r="O22" s="10">
        <v>0</v>
      </c>
      <c r="P22" s="10">
        <v>30240.07</v>
      </c>
      <c r="Q22" s="11">
        <v>1000</v>
      </c>
      <c r="R22" s="10">
        <v>31240.07</v>
      </c>
      <c r="S22" s="10">
        <v>13468.55</v>
      </c>
      <c r="T22" s="11">
        <v>1000</v>
      </c>
      <c r="U22" s="10">
        <v>14468.55</v>
      </c>
      <c r="V22" s="7">
        <v>141</v>
      </c>
      <c r="W22" s="15">
        <v>200</v>
      </c>
      <c r="X22" s="9">
        <v>341</v>
      </c>
      <c r="Y22" s="10">
        <v>16396.1</v>
      </c>
      <c r="Z22" s="13">
        <v>3000</v>
      </c>
      <c r="AA22" s="10">
        <v>19396.1</v>
      </c>
      <c r="AB22" s="10">
        <v>858.7</v>
      </c>
      <c r="AC22" s="14">
        <v>0</v>
      </c>
      <c r="AD22" s="10">
        <v>858.7</v>
      </c>
    </row>
    <row r="23" spans="1:30" ht="78.75" x14ac:dyDescent="0.25">
      <c r="A23" s="5" t="inlineStr">
        <is>
          <t>21</t>
        </is>
      </c>
      <c r="B23" s="6" t="inlineStr">
        <is>
          <t>Phòng giao dịch NHCSXH Duy Xuyên</t>
        </is>
      </c>
      <c r="C23" s="6" t="inlineStr">
        <is>
          <t>Xã Thu Bồn</t>
        </is>
      </c>
      <c r="D23" s="7">
        <v>1007</v>
      </c>
      <c r="E23" s="5">
        <v>-300</v>
      </c>
      <c r="F23" s="9">
        <v>707</v>
      </c>
      <c r="G23" s="10">
        <v>39338.5</v>
      </c>
      <c r="H23" s="11">
        <v>-3795</v>
      </c>
      <c r="I23" s="10">
        <v>35543.5</v>
      </c>
      <c r="J23" s="10">
        <v>3592</v>
      </c>
      <c r="K23" s="11">
        <v>-1000</v>
      </c>
      <c r="L23" s="10">
        <v>2592</v>
      </c>
      <c r="M23" s="10">
        <v>50</v>
      </c>
      <c r="N23" s="8">
        <v>0</v>
      </c>
      <c r="O23" s="10">
        <v>50</v>
      </c>
      <c r="P23" s="10">
        <v>43051.33</v>
      </c>
      <c r="Q23" s="11">
        <v>1000</v>
      </c>
      <c r="R23" s="10">
        <v>44051.33</v>
      </c>
      <c r="S23" s="10">
        <v>12280.15</v>
      </c>
      <c r="T23" s="11">
        <v>1000</v>
      </c>
      <c r="U23" s="10">
        <v>13280.15</v>
      </c>
      <c r="V23" s="7">
        <v>105</v>
      </c>
      <c r="W23" s="12">
        <v>0</v>
      </c>
      <c r="X23" s="9">
        <v>105</v>
      </c>
      <c r="Y23" s="10">
        <v>26737.8</v>
      </c>
      <c r="Z23" s="13">
        <v>3000</v>
      </c>
      <c r="AA23" s="10">
        <v>29737.8</v>
      </c>
      <c r="AB23" s="10">
        <v>470.11</v>
      </c>
      <c r="AC23" s="14">
        <v>0</v>
      </c>
      <c r="AD23" s="10">
        <v>470.11</v>
      </c>
    </row>
    <row r="24" spans="1:30" ht="78.75" x14ac:dyDescent="0.25">
      <c r="A24" s="5" t="inlineStr">
        <is>
          <t>22</t>
        </is>
      </c>
      <c r="B24" s="6" t="inlineStr">
        <is>
          <t>Phòng giao dịch NHCSXH Thăng Bình</t>
        </is>
      </c>
      <c r="C24" s="6" t="inlineStr">
        <is>
          <t>Xã Thăng An</t>
        </is>
      </c>
      <c r="D24" s="7">
        <v>1230</v>
      </c>
      <c r="E24" s="5">
        <v>-10</v>
      </c>
      <c r="F24" s="9">
        <v>1220</v>
      </c>
      <c r="G24" s="10">
        <v>78264.4</v>
      </c>
      <c r="H24" s="11">
        <v>-3000</v>
      </c>
      <c r="I24" s="10">
        <v>75264.4</v>
      </c>
      <c r="J24" s="10">
        <v>8039.6</v>
      </c>
      <c r="K24" s="11">
        <v>-1500</v>
      </c>
      <c r="L24" s="10">
        <v>6539.6</v>
      </c>
      <c r="M24" s="10">
        <v>5648</v>
      </c>
      <c r="N24" s="11">
        <v>-1500</v>
      </c>
      <c r="O24" s="10">
        <v>4148</v>
      </c>
      <c r="P24" s="10">
        <v>55544.72</v>
      </c>
      <c r="Q24" s="11">
        <v>4750</v>
      </c>
      <c r="R24" s="10">
        <v>60294.72</v>
      </c>
      <c r="S24" s="10">
        <v>13401.75</v>
      </c>
      <c r="T24" s="11">
        <v>3500</v>
      </c>
      <c r="U24" s="10">
        <v>16901.75</v>
      </c>
      <c r="V24" s="7">
        <v>200</v>
      </c>
      <c r="W24" s="12">
        <v>0</v>
      </c>
      <c r="X24" s="9">
        <v>200</v>
      </c>
      <c r="Y24" s="10">
        <v>34878.4</v>
      </c>
      <c r="Z24" s="13">
        <v>10000</v>
      </c>
      <c r="AA24" s="10">
        <v>44878.4</v>
      </c>
      <c r="AB24" s="10">
        <v>684.9</v>
      </c>
      <c r="AC24" s="14">
        <v>0</v>
      </c>
      <c r="AD24" s="10">
        <v>684.9</v>
      </c>
    </row>
    <row r="25" spans="1:30" ht="78.75" x14ac:dyDescent="0.25">
      <c r="A25" s="5" t="inlineStr">
        <is>
          <t>23</t>
        </is>
      </c>
      <c r="B25" s="6" t="inlineStr">
        <is>
          <t>Phòng giao dịch NHCSXH Thăng Bình</t>
        </is>
      </c>
      <c r="C25" s="6" t="inlineStr">
        <is>
          <t>Xã Thăng Bình</t>
        </is>
      </c>
      <c r="D25" s="7">
        <v>625</v>
      </c>
      <c r="E25" s="5">
        <v>-10</v>
      </c>
      <c r="F25" s="9">
        <v>615</v>
      </c>
      <c r="G25" s="10">
        <v>103864.94</v>
      </c>
      <c r="H25" s="11">
        <v>-5000</v>
      </c>
      <c r="I25" s="10">
        <v>98864.94</v>
      </c>
      <c r="J25" s="10">
        <v>16200.62</v>
      </c>
      <c r="K25" s="11">
        <v>-1500</v>
      </c>
      <c r="L25" s="10">
        <v>14700.62</v>
      </c>
      <c r="M25" s="10">
        <v>0</v>
      </c>
      <c r="N25" s="8">
        <v>0</v>
      </c>
      <c r="O25" s="10">
        <v>0</v>
      </c>
      <c r="P25" s="10">
        <v>37578.14</v>
      </c>
      <c r="Q25" s="11">
        <v>3800</v>
      </c>
      <c r="R25" s="10">
        <v>41378.14</v>
      </c>
      <c r="S25" s="10">
        <v>30821.88</v>
      </c>
      <c r="T25" s="11">
        <v>3580</v>
      </c>
      <c r="U25" s="10">
        <v>34401.88</v>
      </c>
      <c r="V25" s="7">
        <v>762</v>
      </c>
      <c r="W25" s="12">
        <v>0</v>
      </c>
      <c r="X25" s="9">
        <v>762</v>
      </c>
      <c r="Y25" s="10">
        <v>24429.8</v>
      </c>
      <c r="Z25" s="13">
        <v>8000</v>
      </c>
      <c r="AA25" s="10">
        <v>32429.8</v>
      </c>
      <c r="AB25" s="10">
        <v>2608.5</v>
      </c>
      <c r="AC25" s="14">
        <v>0</v>
      </c>
      <c r="AD25" s="10">
        <v>2608.5</v>
      </c>
    </row>
    <row r="26" spans="1:30" ht="78.75" x14ac:dyDescent="0.25">
      <c r="A26" s="5" t="inlineStr">
        <is>
          <t>24</t>
        </is>
      </c>
      <c r="B26" s="6" t="inlineStr">
        <is>
          <t>Phòng giao dịch NHCSXH Thăng Bình</t>
        </is>
      </c>
      <c r="C26" s="6" t="inlineStr">
        <is>
          <t>Xã Thăng Phú</t>
        </is>
      </c>
      <c r="D26" s="7">
        <v>313</v>
      </c>
      <c r="E26" s="5">
        <v>-10</v>
      </c>
      <c r="F26" s="9">
        <v>303</v>
      </c>
      <c r="G26" s="10">
        <v>61520</v>
      </c>
      <c r="H26" s="11">
        <v>-4000</v>
      </c>
      <c r="I26" s="10">
        <v>57520</v>
      </c>
      <c r="J26" s="10">
        <v>2667.5</v>
      </c>
      <c r="K26" s="5">
        <v>-500</v>
      </c>
      <c r="L26" s="10">
        <v>2167.5</v>
      </c>
      <c r="M26" s="10">
        <v>0</v>
      </c>
      <c r="N26" s="8">
        <v>0</v>
      </c>
      <c r="O26" s="10">
        <v>0</v>
      </c>
      <c r="P26" s="10">
        <v>12548.7</v>
      </c>
      <c r="Q26" s="11">
        <v>1900</v>
      </c>
      <c r="R26" s="10">
        <v>14448.7</v>
      </c>
      <c r="S26" s="10">
        <v>3990.6</v>
      </c>
      <c r="T26" s="11">
        <v>1500</v>
      </c>
      <c r="U26" s="10">
        <v>5490.6</v>
      </c>
      <c r="V26" s="7">
        <v>0</v>
      </c>
      <c r="W26" s="12">
        <v>0</v>
      </c>
      <c r="X26" s="9">
        <v>0</v>
      </c>
      <c r="Y26" s="10">
        <v>15368</v>
      </c>
      <c r="Z26" s="13">
        <v>4000</v>
      </c>
      <c r="AA26" s="10">
        <v>19368</v>
      </c>
      <c r="AB26" s="10">
        <v>1050.7</v>
      </c>
      <c r="AC26" s="14">
        <v>0</v>
      </c>
      <c r="AD26" s="10">
        <v>1050.7</v>
      </c>
    </row>
    <row r="27" spans="1:30" ht="78.75" x14ac:dyDescent="0.25">
      <c r="A27" s="5" t="inlineStr">
        <is>
          <t>25</t>
        </is>
      </c>
      <c r="B27" s="6" t="inlineStr">
        <is>
          <t>Phòng giao dịch NHCSXH Thăng Bình</t>
        </is>
      </c>
      <c r="C27" s="6" t="inlineStr">
        <is>
          <t>Xã Thăng Trường</t>
        </is>
      </c>
      <c r="D27" s="7">
        <v>376.08</v>
      </c>
      <c r="E27" s="5">
        <v>-10</v>
      </c>
      <c r="F27" s="9">
        <v>366.08</v>
      </c>
      <c r="G27" s="10">
        <v>25580.5</v>
      </c>
      <c r="H27" s="11">
        <v>-3000</v>
      </c>
      <c r="I27" s="10">
        <v>22580.5</v>
      </c>
      <c r="J27" s="10">
        <v>5573.5</v>
      </c>
      <c r="K27" s="5">
        <v>-500</v>
      </c>
      <c r="L27" s="10">
        <v>5073.5</v>
      </c>
      <c r="M27" s="10">
        <v>27602.76</v>
      </c>
      <c r="N27" s="11">
        <v>-12000</v>
      </c>
      <c r="O27" s="10">
        <v>15602.76</v>
      </c>
      <c r="P27" s="10">
        <v>24399.48</v>
      </c>
      <c r="Q27" s="11">
        <v>2850</v>
      </c>
      <c r="R27" s="10">
        <v>27249.48</v>
      </c>
      <c r="S27" s="10">
        <v>5117.6</v>
      </c>
      <c r="T27" s="11">
        <v>1500</v>
      </c>
      <c r="U27" s="10">
        <v>6617.6</v>
      </c>
      <c r="V27" s="7">
        <v>400</v>
      </c>
      <c r="W27" s="12">
        <v>0</v>
      </c>
      <c r="X27" s="9">
        <v>400</v>
      </c>
      <c r="Y27" s="10">
        <v>18869.2</v>
      </c>
      <c r="Z27" s="13">
        <v>6000</v>
      </c>
      <c r="AA27" s="10">
        <v>24869.2</v>
      </c>
      <c r="AB27" s="10">
        <v>553.79</v>
      </c>
      <c r="AC27" s="14">
        <v>0</v>
      </c>
      <c r="AD27" s="10">
        <v>553.79</v>
      </c>
    </row>
    <row r="28" spans="1:30" ht="78.75" x14ac:dyDescent="0.25">
      <c r="A28" s="5" t="inlineStr">
        <is>
          <t>26</t>
        </is>
      </c>
      <c r="B28" s="6" t="inlineStr">
        <is>
          <t>Phòng giao dịch NHCSXH Thăng Bình</t>
        </is>
      </c>
      <c r="C28" s="6" t="inlineStr">
        <is>
          <t>Xã Thăng Điền</t>
        </is>
      </c>
      <c r="D28" s="7">
        <v>454</v>
      </c>
      <c r="E28" s="5">
        <v>-10</v>
      </c>
      <c r="F28" s="9">
        <v>444</v>
      </c>
      <c r="G28" s="10">
        <v>90817.8</v>
      </c>
      <c r="H28" s="11">
        <v>-5000</v>
      </c>
      <c r="I28" s="10">
        <v>85817.8</v>
      </c>
      <c r="J28" s="10">
        <v>10293.9</v>
      </c>
      <c r="K28" s="11">
        <v>-1500</v>
      </c>
      <c r="L28" s="10">
        <v>8793.9</v>
      </c>
      <c r="M28" s="10">
        <v>0</v>
      </c>
      <c r="N28" s="8">
        <v>0</v>
      </c>
      <c r="O28" s="10">
        <v>0</v>
      </c>
      <c r="P28" s="10">
        <v>35116.12</v>
      </c>
      <c r="Q28" s="11">
        <v>2850</v>
      </c>
      <c r="R28" s="10">
        <v>37966.12</v>
      </c>
      <c r="S28" s="10">
        <v>23307.76</v>
      </c>
      <c r="T28" s="11">
        <v>3500</v>
      </c>
      <c r="U28" s="10">
        <v>26807.76</v>
      </c>
      <c r="V28" s="7">
        <v>189</v>
      </c>
      <c r="W28" s="12">
        <v>0</v>
      </c>
      <c r="X28" s="9">
        <v>189</v>
      </c>
      <c r="Y28" s="10">
        <v>15273.4</v>
      </c>
      <c r="Z28" s="13">
        <v>6000</v>
      </c>
      <c r="AA28" s="10">
        <v>21273.4</v>
      </c>
      <c r="AB28" s="10">
        <v>999</v>
      </c>
      <c r="AC28" s="14">
        <v>0</v>
      </c>
      <c r="AD28" s="10">
        <v>999</v>
      </c>
    </row>
    <row r="29" spans="1:30" ht="78.75" x14ac:dyDescent="0.25">
      <c r="A29" s="5" t="inlineStr">
        <is>
          <t>27</t>
        </is>
      </c>
      <c r="B29" s="6" t="inlineStr">
        <is>
          <t>Phòng giao dịch NHCSXH Thăng Bình</t>
        </is>
      </c>
      <c r="C29" s="6" t="inlineStr">
        <is>
          <t>Xã Đồng Dương</t>
        </is>
      </c>
      <c r="D29" s="7">
        <v>578</v>
      </c>
      <c r="E29" s="5">
        <v>-50</v>
      </c>
      <c r="F29" s="9">
        <v>528</v>
      </c>
      <c r="G29" s="10">
        <v>87729.3</v>
      </c>
      <c r="H29" s="11">
        <v>-5000</v>
      </c>
      <c r="I29" s="10">
        <v>82729.3</v>
      </c>
      <c r="J29" s="10">
        <v>6338.1</v>
      </c>
      <c r="K29" s="11">
        <v>-1500</v>
      </c>
      <c r="L29" s="10">
        <v>4838.1</v>
      </c>
      <c r="M29" s="10">
        <v>5070.15</v>
      </c>
      <c r="N29" s="11">
        <v>-1500</v>
      </c>
      <c r="O29" s="10">
        <v>3570.15</v>
      </c>
      <c r="P29" s="10">
        <v>14943.92</v>
      </c>
      <c r="Q29" s="11">
        <v>2850</v>
      </c>
      <c r="R29" s="10">
        <v>17793.92</v>
      </c>
      <c r="S29" s="10">
        <v>3167.1</v>
      </c>
      <c r="T29" s="11">
        <v>2000</v>
      </c>
      <c r="U29" s="10">
        <v>5167.1</v>
      </c>
      <c r="V29" s="7">
        <v>300</v>
      </c>
      <c r="W29" s="12">
        <v>0</v>
      </c>
      <c r="X29" s="9">
        <v>300</v>
      </c>
      <c r="Y29" s="10">
        <v>11111</v>
      </c>
      <c r="Z29" s="13">
        <v>5000</v>
      </c>
      <c r="AA29" s="10">
        <v>16111</v>
      </c>
      <c r="AB29" s="10">
        <v>177.5</v>
      </c>
      <c r="AC29" s="14">
        <v>0</v>
      </c>
      <c r="AD29" s="10">
        <v>177.5</v>
      </c>
    </row>
    <row r="30" spans="1:30" ht="78.75" x14ac:dyDescent="0.25">
      <c r="A30" s="5" t="inlineStr">
        <is>
          <t>28</t>
        </is>
      </c>
      <c r="B30" s="6" t="inlineStr">
        <is>
          <t>Phòng giao dịch NHCSXH Quế Sơn</t>
        </is>
      </c>
      <c r="C30" s="6" t="inlineStr">
        <is>
          <t>Xã Nông Sơn</t>
        </is>
      </c>
      <c r="D30" s="7">
        <v>617.5</v>
      </c>
      <c r="E30" s="5">
        <v>-100</v>
      </c>
      <c r="F30" s="9">
        <v>517.5</v>
      </c>
      <c r="G30" s="16">
        <v>12769.4</v>
      </c>
      <c r="H30" s="11">
        <v>-1000</v>
      </c>
      <c r="I30" s="10">
        <v>11769.4</v>
      </c>
      <c r="J30" s="10">
        <v>8583.5</v>
      </c>
      <c r="K30" s="11">
        <v>-1000</v>
      </c>
      <c r="L30" s="10">
        <v>7583.5</v>
      </c>
      <c r="M30" s="10">
        <v>4982.8</v>
      </c>
      <c r="N30" s="11">
        <v>-2600</v>
      </c>
      <c r="O30" s="10">
        <v>2382.8</v>
      </c>
      <c r="P30" s="10">
        <v>20322.56</v>
      </c>
      <c r="Q30" s="11">
        <v>1500</v>
      </c>
      <c r="R30" s="10">
        <v>21822.56</v>
      </c>
      <c r="S30" s="10">
        <v>458.12</v>
      </c>
      <c r="T30" s="8">
        <v>0</v>
      </c>
      <c r="U30" s="10">
        <v>458.12</v>
      </c>
      <c r="V30" s="7">
        <v>0</v>
      </c>
      <c r="W30" s="12">
        <v>0</v>
      </c>
      <c r="X30" s="9">
        <v>0</v>
      </c>
      <c r="Y30" s="10">
        <v>34815.52</v>
      </c>
      <c r="Z30" s="13">
        <v>5000</v>
      </c>
      <c r="AA30" s="10">
        <v>39815.52</v>
      </c>
      <c r="AB30" s="10">
        <v>1485.7</v>
      </c>
      <c r="AC30" s="14">
        <v>0</v>
      </c>
      <c r="AD30" s="10">
        <v>1485.7</v>
      </c>
    </row>
    <row r="31" spans="1:30" ht="78.75" x14ac:dyDescent="0.25">
      <c r="A31" s="5" t="inlineStr">
        <is>
          <t>29</t>
        </is>
      </c>
      <c r="B31" s="6" t="inlineStr">
        <is>
          <t>Phòng giao dịch NHCSXH Quế Sơn</t>
        </is>
      </c>
      <c r="C31" s="6" t="inlineStr">
        <is>
          <t>Xã Quế Phước</t>
        </is>
      </c>
      <c r="D31" s="7">
        <v>1050.5</v>
      </c>
      <c r="E31" s="5">
        <v>-200</v>
      </c>
      <c r="F31" s="9">
        <v>850.5</v>
      </c>
      <c r="G31" s="16">
        <v>12633.24</v>
      </c>
      <c r="H31" s="11">
        <v>-1000</v>
      </c>
      <c r="I31" s="10">
        <v>11633.24</v>
      </c>
      <c r="J31" s="10">
        <v>6566.6</v>
      </c>
      <c r="K31" s="11">
        <v>-1000</v>
      </c>
      <c r="L31" s="10">
        <v>5566.6</v>
      </c>
      <c r="M31" s="10">
        <v>2889.4</v>
      </c>
      <c r="N31" s="8">
        <v>0</v>
      </c>
      <c r="O31" s="10">
        <v>2889.4</v>
      </c>
      <c r="P31" s="10">
        <v>19881.46</v>
      </c>
      <c r="Q31" s="5">
        <v>500</v>
      </c>
      <c r="R31" s="10">
        <v>20381.46</v>
      </c>
      <c r="S31" s="10">
        <v>290</v>
      </c>
      <c r="T31" s="8">
        <v>0</v>
      </c>
      <c r="U31" s="10">
        <v>290</v>
      </c>
      <c r="V31" s="7">
        <v>0</v>
      </c>
      <c r="W31" s="12">
        <v>0</v>
      </c>
      <c r="X31" s="9">
        <v>0</v>
      </c>
      <c r="Y31" s="10">
        <v>23943.3</v>
      </c>
      <c r="Z31" s="13">
        <v>3000</v>
      </c>
      <c r="AA31" s="10">
        <v>26943.3</v>
      </c>
      <c r="AB31" s="10">
        <v>421</v>
      </c>
      <c r="AC31" s="14">
        <v>0</v>
      </c>
      <c r="AD31" s="10">
        <v>421</v>
      </c>
    </row>
    <row r="32" spans="1:30" ht="78.75" x14ac:dyDescent="0.25">
      <c r="A32" s="5" t="inlineStr">
        <is>
          <t>30</t>
        </is>
      </c>
      <c r="B32" s="6" t="inlineStr">
        <is>
          <t>Phòng giao dịch NHCSXH Quế Sơn</t>
        </is>
      </c>
      <c r="C32" s="6" t="inlineStr">
        <is>
          <t>Xã Quế Sơn</t>
        </is>
      </c>
      <c r="D32" s="7">
        <v>1715.2</v>
      </c>
      <c r="E32" s="5">
        <v>-300</v>
      </c>
      <c r="F32" s="9">
        <v>1415.2</v>
      </c>
      <c r="G32" s="16">
        <v>67699.56</v>
      </c>
      <c r="H32" s="11">
        <v>-2500</v>
      </c>
      <c r="I32" s="10">
        <v>65199.56</v>
      </c>
      <c r="J32" s="10">
        <v>21147.54</v>
      </c>
      <c r="K32" s="11">
        <v>-3000</v>
      </c>
      <c r="L32" s="10">
        <v>18147.54</v>
      </c>
      <c r="M32" s="10">
        <v>2348.6</v>
      </c>
      <c r="N32" s="11">
        <v>-2000</v>
      </c>
      <c r="O32" s="10">
        <v>348.6</v>
      </c>
      <c r="P32" s="10">
        <v>27435.35</v>
      </c>
      <c r="Q32" s="11">
        <v>3000</v>
      </c>
      <c r="R32" s="10">
        <v>30435.35</v>
      </c>
      <c r="S32" s="10">
        <v>5142.5</v>
      </c>
      <c r="T32" s="11">
        <v>1000</v>
      </c>
      <c r="U32" s="10">
        <v>6142.5</v>
      </c>
      <c r="V32" s="7">
        <v>0</v>
      </c>
      <c r="W32" s="12">
        <v>0</v>
      </c>
      <c r="X32" s="9">
        <v>0</v>
      </c>
      <c r="Y32" s="10">
        <v>29804.25</v>
      </c>
      <c r="Z32" s="13">
        <v>5000</v>
      </c>
      <c r="AA32" s="10">
        <v>34804.25</v>
      </c>
      <c r="AB32" s="10">
        <v>2678.32</v>
      </c>
      <c r="AC32" s="14">
        <v>0</v>
      </c>
      <c r="AD32" s="10">
        <v>2678.32</v>
      </c>
    </row>
    <row r="33" spans="1:30" ht="78.75" x14ac:dyDescent="0.25">
      <c r="A33" s="5" t="inlineStr">
        <is>
          <t>31</t>
        </is>
      </c>
      <c r="B33" s="6" t="inlineStr">
        <is>
          <t>Phòng giao dịch NHCSXH Quế Sơn</t>
        </is>
      </c>
      <c r="C33" s="6" t="inlineStr">
        <is>
          <t>Xã Quế Sơn Trung</t>
        </is>
      </c>
      <c r="D33" s="7">
        <v>1967.12</v>
      </c>
      <c r="E33" s="5">
        <v>-100</v>
      </c>
      <c r="F33" s="9">
        <v>1867.12</v>
      </c>
      <c r="G33" s="16">
        <v>108482.4</v>
      </c>
      <c r="H33" s="11">
        <v>-2500</v>
      </c>
      <c r="I33" s="10">
        <v>105982.4</v>
      </c>
      <c r="J33" s="10">
        <v>30620.17</v>
      </c>
      <c r="K33" s="11">
        <v>-3000</v>
      </c>
      <c r="L33" s="10">
        <v>27620.17</v>
      </c>
      <c r="M33" s="10">
        <v>0</v>
      </c>
      <c r="N33" s="8">
        <v>0</v>
      </c>
      <c r="O33" s="10">
        <v>0</v>
      </c>
      <c r="P33" s="10">
        <v>30121.89</v>
      </c>
      <c r="Q33" s="11">
        <v>3000</v>
      </c>
      <c r="R33" s="10">
        <v>33121.89</v>
      </c>
      <c r="S33" s="10">
        <v>6093.18</v>
      </c>
      <c r="T33" s="5">
        <v>800</v>
      </c>
      <c r="U33" s="10">
        <v>6893.18</v>
      </c>
      <c r="V33" s="7">
        <v>200</v>
      </c>
      <c r="W33" s="12">
        <v>0</v>
      </c>
      <c r="X33" s="9">
        <v>200</v>
      </c>
      <c r="Y33" s="10">
        <v>19323.5</v>
      </c>
      <c r="Z33" s="13">
        <v>5000</v>
      </c>
      <c r="AA33" s="10">
        <v>24323.5</v>
      </c>
      <c r="AB33" s="10">
        <v>204.1</v>
      </c>
      <c r="AC33" s="14">
        <v>0</v>
      </c>
      <c r="AD33" s="10">
        <v>204.1</v>
      </c>
    </row>
    <row r="34" spans="1:30" ht="78.75" x14ac:dyDescent="0.25">
      <c r="A34" s="5" t="inlineStr">
        <is>
          <t>32</t>
        </is>
      </c>
      <c r="B34" s="6" t="inlineStr">
        <is>
          <t>Phòng giao dịch NHCSXH Quế Sơn</t>
        </is>
      </c>
      <c r="C34" s="6" t="inlineStr">
        <is>
          <t>Xã Xuân Phú</t>
        </is>
      </c>
      <c r="D34" s="7">
        <v>297.9</v>
      </c>
      <c r="E34" s="5">
        <v>-200</v>
      </c>
      <c r="F34" s="9">
        <v>97.9</v>
      </c>
      <c r="G34" s="16">
        <v>69668.46</v>
      </c>
      <c r="H34" s="11">
        <v>-3000</v>
      </c>
      <c r="I34" s="10">
        <v>66668.46</v>
      </c>
      <c r="J34" s="10">
        <v>14147.74</v>
      </c>
      <c r="K34" s="11">
        <v>-2000</v>
      </c>
      <c r="L34" s="10">
        <v>12147.74</v>
      </c>
      <c r="M34" s="10">
        <v>0</v>
      </c>
      <c r="N34" s="8">
        <v>0</v>
      </c>
      <c r="O34" s="10">
        <v>0</v>
      </c>
      <c r="P34" s="10">
        <v>36009.16</v>
      </c>
      <c r="Q34" s="11">
        <v>3000</v>
      </c>
      <c r="R34" s="10">
        <v>39009.16</v>
      </c>
      <c r="S34" s="10">
        <v>6082.5</v>
      </c>
      <c r="T34" s="5">
        <v>800</v>
      </c>
      <c r="U34" s="10">
        <v>6882.5</v>
      </c>
      <c r="V34" s="7">
        <v>100</v>
      </c>
      <c r="W34" s="12">
        <v>0</v>
      </c>
      <c r="X34" s="9">
        <v>100</v>
      </c>
      <c r="Y34" s="10">
        <v>24909.41</v>
      </c>
      <c r="Z34" s="13">
        <v>4000</v>
      </c>
      <c r="AA34" s="10">
        <v>28909.41</v>
      </c>
      <c r="AB34" s="10">
        <v>2643.11</v>
      </c>
      <c r="AC34" s="14">
        <v>0</v>
      </c>
      <c r="AD34" s="10">
        <v>2643.11</v>
      </c>
    </row>
    <row r="35" spans="1:30" ht="78.75" x14ac:dyDescent="0.25">
      <c r="A35" s="5" t="inlineStr">
        <is>
          <t>33</t>
        </is>
      </c>
      <c r="B35" s="6" t="inlineStr">
        <is>
          <t>Phòng giao dịch NHCSXH Bắc Trà My</t>
        </is>
      </c>
      <c r="C35" s="6" t="inlineStr">
        <is>
          <t>Xã Trà Giáp</t>
        </is>
      </c>
      <c r="D35" s="7">
        <v>44245.54</v>
      </c>
      <c r="E35" s="11">
        <v>1000</v>
      </c>
      <c r="F35" s="9">
        <v>45245.54</v>
      </c>
      <c r="G35" s="10">
        <v>294</v>
      </c>
      <c r="H35" s="8">
        <v>0</v>
      </c>
      <c r="I35" s="10">
        <v>294</v>
      </c>
      <c r="J35" s="10">
        <v>2576.17</v>
      </c>
      <c r="K35" s="8">
        <v>0</v>
      </c>
      <c r="L35" s="10">
        <v>2576.17</v>
      </c>
      <c r="M35" s="10">
        <v>8808</v>
      </c>
      <c r="N35" s="5">
        <v>500</v>
      </c>
      <c r="O35" s="10">
        <v>9308</v>
      </c>
      <c r="P35" s="10">
        <v>2706.8</v>
      </c>
      <c r="Q35" s="5">
        <v>500</v>
      </c>
      <c r="R35" s="10">
        <v>3206.8</v>
      </c>
      <c r="S35" s="10">
        <v>0</v>
      </c>
      <c r="T35" s="8">
        <v>0</v>
      </c>
      <c r="U35" s="10">
        <v>0</v>
      </c>
      <c r="V35" s="7">
        <v>0</v>
      </c>
      <c r="W35" s="12">
        <v>0</v>
      </c>
      <c r="X35" s="9">
        <v>0</v>
      </c>
      <c r="Y35" s="10">
        <v>2287.5</v>
      </c>
      <c r="Z35" s="12">
        <v>0</v>
      </c>
      <c r="AA35" s="10">
        <v>2287.5</v>
      </c>
      <c r="AB35" s="10">
        <v>0</v>
      </c>
      <c r="AC35" s="14">
        <v>0</v>
      </c>
      <c r="AD35" s="10">
        <v>0</v>
      </c>
    </row>
    <row r="36" spans="1:30" ht="78.75" x14ac:dyDescent="0.25">
      <c r="A36" s="5" t="inlineStr">
        <is>
          <t>34</t>
        </is>
      </c>
      <c r="B36" s="6" t="inlineStr">
        <is>
          <t>Phòng giao dịch NHCSXH Bắc Trà My</t>
        </is>
      </c>
      <c r="C36" s="6" t="inlineStr">
        <is>
          <t>Xã Trà Liên</t>
        </is>
      </c>
      <c r="D36" s="7">
        <v>43498.32</v>
      </c>
      <c r="E36" s="11">
        <v>1500</v>
      </c>
      <c r="F36" s="9">
        <v>44998.32</v>
      </c>
      <c r="G36" s="10">
        <v>9352.1</v>
      </c>
      <c r="H36" s="8">
        <v>0</v>
      </c>
      <c r="I36" s="10">
        <v>9352.1</v>
      </c>
      <c r="J36" s="10">
        <v>5042</v>
      </c>
      <c r="K36" s="8">
        <v>0</v>
      </c>
      <c r="L36" s="10">
        <v>5042</v>
      </c>
      <c r="M36" s="10">
        <v>7603.2</v>
      </c>
      <c r="N36" s="11">
        <v>1000</v>
      </c>
      <c r="O36" s="10">
        <v>8603.2</v>
      </c>
      <c r="P36" s="10">
        <v>8954</v>
      </c>
      <c r="Q36" s="11">
        <v>1500</v>
      </c>
      <c r="R36" s="10">
        <v>10454</v>
      </c>
      <c r="S36" s="10">
        <v>2493.1</v>
      </c>
      <c r="T36" s="8">
        <v>0</v>
      </c>
      <c r="U36" s="10">
        <v>2493.1</v>
      </c>
      <c r="V36" s="7">
        <v>150</v>
      </c>
      <c r="W36" s="12">
        <v>0</v>
      </c>
      <c r="X36" s="9">
        <v>150</v>
      </c>
      <c r="Y36" s="10">
        <v>17087.5</v>
      </c>
      <c r="Z36" s="15">
        <v>900</v>
      </c>
      <c r="AA36" s="10">
        <v>17987.5</v>
      </c>
      <c r="AB36" s="10">
        <v>1038.8</v>
      </c>
      <c r="AC36" s="14">
        <v>0</v>
      </c>
      <c r="AD36" s="10">
        <v>1038.8</v>
      </c>
    </row>
    <row r="37" spans="1:30" ht="78.75" x14ac:dyDescent="0.25">
      <c r="A37" s="5" t="inlineStr">
        <is>
          <t>35</t>
        </is>
      </c>
      <c r="B37" s="6" t="inlineStr">
        <is>
          <t>Phòng giao dịch NHCSXH Bắc Trà My</t>
        </is>
      </c>
      <c r="C37" s="6" t="inlineStr">
        <is>
          <t>Xã Trà My</t>
        </is>
      </c>
      <c r="D37" s="7">
        <v>34809.86</v>
      </c>
      <c r="E37" s="5">
        <v>500</v>
      </c>
      <c r="F37" s="9">
        <v>35309.86</v>
      </c>
      <c r="G37" s="10">
        <v>16031.6</v>
      </c>
      <c r="H37" s="8">
        <v>0</v>
      </c>
      <c r="I37" s="10">
        <v>16031.6</v>
      </c>
      <c r="J37" s="10">
        <v>16017.35</v>
      </c>
      <c r="K37" s="8">
        <v>0</v>
      </c>
      <c r="L37" s="10">
        <v>16017.35</v>
      </c>
      <c r="M37" s="10">
        <v>55078.21</v>
      </c>
      <c r="N37" s="5">
        <v>500</v>
      </c>
      <c r="O37" s="10">
        <v>55578.21</v>
      </c>
      <c r="P37" s="10">
        <v>19109.75</v>
      </c>
      <c r="Q37" s="11">
        <v>3000</v>
      </c>
      <c r="R37" s="10">
        <v>22109.75</v>
      </c>
      <c r="S37" s="10">
        <v>10299</v>
      </c>
      <c r="T37" s="5">
        <v>500</v>
      </c>
      <c r="U37" s="10">
        <v>10799</v>
      </c>
      <c r="V37" s="7">
        <v>294</v>
      </c>
      <c r="W37" s="15">
        <v>-133</v>
      </c>
      <c r="X37" s="9">
        <v>161</v>
      </c>
      <c r="Y37" s="10">
        <v>36307.5</v>
      </c>
      <c r="Z37" s="13">
        <v>1200</v>
      </c>
      <c r="AA37" s="10">
        <v>37507.5</v>
      </c>
      <c r="AB37" s="10">
        <v>2042</v>
      </c>
      <c r="AC37" s="14">
        <v>0</v>
      </c>
      <c r="AD37" s="10">
        <v>2042</v>
      </c>
    </row>
    <row r="38" spans="1:30" ht="78.75" x14ac:dyDescent="0.25">
      <c r="A38" s="5" t="inlineStr">
        <is>
          <t>36</t>
        </is>
      </c>
      <c r="B38" s="6" t="inlineStr">
        <is>
          <t>Phòng giao dịch NHCSXH Bắc Trà My</t>
        </is>
      </c>
      <c r="C38" s="6" t="inlineStr">
        <is>
          <t>Xã Trà Tân</t>
        </is>
      </c>
      <c r="D38" s="7">
        <v>26368.75</v>
      </c>
      <c r="E38" s="11">
        <v>1000</v>
      </c>
      <c r="F38" s="9">
        <v>27368.75</v>
      </c>
      <c r="G38" s="10">
        <v>8279</v>
      </c>
      <c r="H38" s="8">
        <v>0</v>
      </c>
      <c r="I38" s="10">
        <v>8279</v>
      </c>
      <c r="J38" s="10">
        <v>4517.5</v>
      </c>
      <c r="K38" s="8">
        <v>0</v>
      </c>
      <c r="L38" s="10">
        <v>4517.5</v>
      </c>
      <c r="M38" s="10">
        <v>10544.6</v>
      </c>
      <c r="N38" s="8">
        <v>0</v>
      </c>
      <c r="O38" s="10">
        <v>10544.6</v>
      </c>
      <c r="P38" s="10">
        <v>4549.8</v>
      </c>
      <c r="Q38" s="5">
        <v>500</v>
      </c>
      <c r="R38" s="10">
        <v>5049.8</v>
      </c>
      <c r="S38" s="10">
        <v>791.8</v>
      </c>
      <c r="T38" s="8">
        <v>0</v>
      </c>
      <c r="U38" s="10">
        <v>791.8</v>
      </c>
      <c r="V38" s="7">
        <v>189</v>
      </c>
      <c r="W38" s="12">
        <v>0</v>
      </c>
      <c r="X38" s="9">
        <v>189</v>
      </c>
      <c r="Y38" s="10">
        <v>7784.44</v>
      </c>
      <c r="Z38" s="12">
        <v>0</v>
      </c>
      <c r="AA38" s="10">
        <v>7784.44</v>
      </c>
      <c r="AB38" s="10">
        <v>674.5</v>
      </c>
      <c r="AC38" s="14">
        <v>0</v>
      </c>
      <c r="AD38" s="10">
        <v>674.5</v>
      </c>
    </row>
    <row r="39" spans="1:30" ht="78.75" x14ac:dyDescent="0.25">
      <c r="A39" s="5" t="inlineStr">
        <is>
          <t>37</t>
        </is>
      </c>
      <c r="B39" s="6" t="inlineStr">
        <is>
          <t>Phòng giao dịch NHCSXH Bắc Trà My</t>
        </is>
      </c>
      <c r="C39" s="6" t="inlineStr">
        <is>
          <t>Xã Trà Đốc</t>
        </is>
      </c>
      <c r="D39" s="7">
        <v>62173.58</v>
      </c>
      <c r="E39" s="11">
        <v>1000</v>
      </c>
      <c r="F39" s="9">
        <v>63173.58</v>
      </c>
      <c r="G39" s="10">
        <v>36</v>
      </c>
      <c r="H39" s="8">
        <v>0</v>
      </c>
      <c r="I39" s="10">
        <v>36</v>
      </c>
      <c r="J39" s="10">
        <v>5096.3</v>
      </c>
      <c r="K39" s="8">
        <v>0</v>
      </c>
      <c r="L39" s="10">
        <v>5096.3</v>
      </c>
      <c r="M39" s="10">
        <v>10315.96</v>
      </c>
      <c r="N39" s="11">
        <v>1000</v>
      </c>
      <c r="O39" s="10">
        <v>11315.96</v>
      </c>
      <c r="P39" s="10">
        <v>1480.7</v>
      </c>
      <c r="Q39" s="5">
        <v>500</v>
      </c>
      <c r="R39" s="10">
        <v>1980.7</v>
      </c>
      <c r="S39" s="10">
        <v>288</v>
      </c>
      <c r="T39" s="8">
        <v>0</v>
      </c>
      <c r="U39" s="10">
        <v>288</v>
      </c>
      <c r="V39" s="7">
        <v>0</v>
      </c>
      <c r="W39" s="12">
        <v>0</v>
      </c>
      <c r="X39" s="9">
        <v>0</v>
      </c>
      <c r="Y39" s="10">
        <v>2220</v>
      </c>
      <c r="Z39" s="15">
        <v>900</v>
      </c>
      <c r="AA39" s="10">
        <v>3120</v>
      </c>
      <c r="AB39" s="10">
        <v>0</v>
      </c>
      <c r="AC39" s="14">
        <v>0</v>
      </c>
      <c r="AD39" s="10">
        <v>0</v>
      </c>
    </row>
    <row r="40" spans="1:30" ht="78.75" x14ac:dyDescent="0.25">
      <c r="A40" s="5" t="inlineStr">
        <is>
          <t>38</t>
        </is>
      </c>
      <c r="B40" s="6" t="inlineStr">
        <is>
          <t>Phòng giao dịch NHCSXH Đại Lộc</t>
        </is>
      </c>
      <c r="C40" s="6" t="inlineStr">
        <is>
          <t>Xã Hà Nha</t>
        </is>
      </c>
      <c r="D40" s="7">
        <v>153</v>
      </c>
      <c r="E40" s="8">
        <v>0</v>
      </c>
      <c r="F40" s="9">
        <v>153</v>
      </c>
      <c r="G40" s="10">
        <v>19775.6</v>
      </c>
      <c r="H40" s="5">
        <v>-500</v>
      </c>
      <c r="I40" s="10">
        <v>19275.6</v>
      </c>
      <c r="J40" s="10">
        <v>23187.14</v>
      </c>
      <c r="K40" s="11">
        <v>-4000</v>
      </c>
      <c r="L40" s="10">
        <v>19187.14</v>
      </c>
      <c r="M40" s="10">
        <v>0</v>
      </c>
      <c r="N40" s="8">
        <v>0</v>
      </c>
      <c r="O40" s="10">
        <v>0</v>
      </c>
      <c r="P40" s="10">
        <v>29627.32</v>
      </c>
      <c r="Q40" s="11">
        <v>3000</v>
      </c>
      <c r="R40" s="10">
        <v>32627.32</v>
      </c>
      <c r="S40" s="10">
        <v>3325.5</v>
      </c>
      <c r="T40" s="11">
        <v>1000</v>
      </c>
      <c r="U40" s="10">
        <v>4325.5</v>
      </c>
      <c r="V40" s="7">
        <v>172</v>
      </c>
      <c r="W40" s="12">
        <v>0</v>
      </c>
      <c r="X40" s="9">
        <v>172</v>
      </c>
      <c r="Y40" s="10">
        <v>21639.5</v>
      </c>
      <c r="Z40" s="13">
        <v>5000</v>
      </c>
      <c r="AA40" s="10">
        <v>26639.5</v>
      </c>
      <c r="AB40" s="10">
        <v>1722.7</v>
      </c>
      <c r="AC40" s="14">
        <v>0</v>
      </c>
      <c r="AD40" s="10">
        <v>1722.7</v>
      </c>
    </row>
    <row r="41" spans="1:30" ht="78.75" x14ac:dyDescent="0.25">
      <c r="A41" s="5" t="inlineStr">
        <is>
          <t>39</t>
        </is>
      </c>
      <c r="B41" s="6" t="inlineStr">
        <is>
          <t>Phòng giao dịch NHCSXH Đại Lộc</t>
        </is>
      </c>
      <c r="C41" s="6" t="inlineStr">
        <is>
          <t>Xã Phú Thuận</t>
        </is>
      </c>
      <c r="D41" s="7">
        <v>1969.77</v>
      </c>
      <c r="E41" s="11">
        <v>-1000</v>
      </c>
      <c r="F41" s="9">
        <v>969.77</v>
      </c>
      <c r="G41" s="10">
        <v>8747.2</v>
      </c>
      <c r="H41" s="11">
        <v>-2000</v>
      </c>
      <c r="I41" s="10">
        <v>6747.2</v>
      </c>
      <c r="J41" s="10">
        <v>14818.55</v>
      </c>
      <c r="K41" s="11">
        <v>-2000</v>
      </c>
      <c r="L41" s="10">
        <v>12818.55</v>
      </c>
      <c r="M41" s="10">
        <v>7749.3</v>
      </c>
      <c r="N41" s="11">
        <v>-4000</v>
      </c>
      <c r="O41" s="10">
        <v>3749.3</v>
      </c>
      <c r="P41" s="10">
        <v>23586.2</v>
      </c>
      <c r="Q41" s="11">
        <v>2000</v>
      </c>
      <c r="R41" s="10">
        <v>25586.2</v>
      </c>
      <c r="S41" s="10">
        <v>1632.4</v>
      </c>
      <c r="T41" s="8">
        <v>0</v>
      </c>
      <c r="U41" s="10">
        <v>1632.4</v>
      </c>
      <c r="V41" s="7">
        <v>365</v>
      </c>
      <c r="W41" s="12">
        <v>0</v>
      </c>
      <c r="X41" s="9">
        <v>365</v>
      </c>
      <c r="Y41" s="10">
        <v>25570.3</v>
      </c>
      <c r="Z41" s="13">
        <v>5000</v>
      </c>
      <c r="AA41" s="10">
        <v>30570.3</v>
      </c>
      <c r="AB41" s="10">
        <v>534</v>
      </c>
      <c r="AC41" s="14">
        <v>0</v>
      </c>
      <c r="AD41" s="10">
        <v>534</v>
      </c>
    </row>
    <row r="42" spans="1:30" ht="78.75" x14ac:dyDescent="0.25">
      <c r="A42" s="5" t="inlineStr">
        <is>
          <t>40</t>
        </is>
      </c>
      <c r="B42" s="6" t="inlineStr">
        <is>
          <t>Phòng giao dịch NHCSXH Đại Lộc</t>
        </is>
      </c>
      <c r="C42" s="6" t="inlineStr">
        <is>
          <t>Xã Thượng Đức</t>
        </is>
      </c>
      <c r="D42" s="7">
        <v>1798.99</v>
      </c>
      <c r="E42" s="11">
        <v>-1500</v>
      </c>
      <c r="F42" s="9">
        <v>298.99</v>
      </c>
      <c r="G42" s="10">
        <v>15035.7</v>
      </c>
      <c r="H42" s="11">
        <v>-1000</v>
      </c>
      <c r="I42" s="10">
        <v>14035.7</v>
      </c>
      <c r="J42" s="10">
        <v>15068.25</v>
      </c>
      <c r="K42" s="11">
        <v>-1000</v>
      </c>
      <c r="L42" s="10">
        <v>14068.25</v>
      </c>
      <c r="M42" s="10">
        <v>10677.01</v>
      </c>
      <c r="N42" s="11">
        <v>-6000</v>
      </c>
      <c r="O42" s="10">
        <v>4677.01</v>
      </c>
      <c r="P42" s="10">
        <v>18788.45</v>
      </c>
      <c r="Q42" s="11">
        <v>1500</v>
      </c>
      <c r="R42" s="10">
        <v>20288.45</v>
      </c>
      <c r="S42" s="10">
        <v>998.42</v>
      </c>
      <c r="T42" s="8">
        <v>0</v>
      </c>
      <c r="U42" s="10">
        <v>998.42</v>
      </c>
      <c r="V42" s="7">
        <v>310</v>
      </c>
      <c r="W42" s="12">
        <v>0</v>
      </c>
      <c r="X42" s="9">
        <v>310</v>
      </c>
      <c r="Y42" s="10">
        <v>13695.3</v>
      </c>
      <c r="Z42" s="13">
        <v>5000</v>
      </c>
      <c r="AA42" s="10">
        <v>18695.3</v>
      </c>
      <c r="AB42" s="10">
        <v>564.51</v>
      </c>
      <c r="AC42" s="14">
        <v>0</v>
      </c>
      <c r="AD42" s="10">
        <v>564.51</v>
      </c>
    </row>
    <row r="43" spans="1:30" ht="78.75" x14ac:dyDescent="0.25">
      <c r="A43" s="5" t="inlineStr">
        <is>
          <t>41</t>
        </is>
      </c>
      <c r="B43" s="6" t="inlineStr">
        <is>
          <t>Phòng giao dịch NHCSXH Đại Lộc</t>
        </is>
      </c>
      <c r="C43" s="6" t="inlineStr">
        <is>
          <t>Xã Vu Gia</t>
        </is>
      </c>
      <c r="D43" s="7">
        <v>159.9</v>
      </c>
      <c r="E43" s="8">
        <v>0</v>
      </c>
      <c r="F43" s="9">
        <v>159.9</v>
      </c>
      <c r="G43" s="10">
        <v>27568</v>
      </c>
      <c r="H43" s="5">
        <v>-500</v>
      </c>
      <c r="I43" s="10">
        <v>27068</v>
      </c>
      <c r="J43" s="10">
        <v>10705.51</v>
      </c>
      <c r="K43" s="11">
        <v>-6000</v>
      </c>
      <c r="L43" s="10">
        <v>4705.51</v>
      </c>
      <c r="M43" s="10">
        <v>0</v>
      </c>
      <c r="N43" s="8">
        <v>0</v>
      </c>
      <c r="O43" s="10">
        <v>0</v>
      </c>
      <c r="P43" s="10">
        <v>20011.51</v>
      </c>
      <c r="Q43" s="11">
        <v>2500</v>
      </c>
      <c r="R43" s="10">
        <v>22511.51</v>
      </c>
      <c r="S43" s="10">
        <v>3344.55</v>
      </c>
      <c r="T43" s="5">
        <v>500</v>
      </c>
      <c r="U43" s="10">
        <v>3844.55</v>
      </c>
      <c r="V43" s="7">
        <v>259</v>
      </c>
      <c r="W43" s="12">
        <v>0</v>
      </c>
      <c r="X43" s="9">
        <v>259</v>
      </c>
      <c r="Y43" s="10">
        <v>20032.3</v>
      </c>
      <c r="Z43" s="13">
        <v>5000</v>
      </c>
      <c r="AA43" s="10">
        <v>25032.3</v>
      </c>
      <c r="AB43" s="10">
        <v>464.8</v>
      </c>
      <c r="AC43" s="14">
        <v>0</v>
      </c>
      <c r="AD43" s="10">
        <v>464.8</v>
      </c>
    </row>
    <row r="44" spans="1:30" ht="78.75" x14ac:dyDescent="0.25">
      <c r="A44" s="5" t="inlineStr">
        <is>
          <t>42</t>
        </is>
      </c>
      <c r="B44" s="6" t="inlineStr">
        <is>
          <t>Phòng giao dịch NHCSXH Đại Lộc</t>
        </is>
      </c>
      <c r="C44" s="6" t="inlineStr">
        <is>
          <t>Xã Đại Lộc</t>
        </is>
      </c>
      <c r="D44" s="7">
        <v>9.5</v>
      </c>
      <c r="E44" s="8">
        <v>0</v>
      </c>
      <c r="F44" s="9">
        <v>9.5</v>
      </c>
      <c r="G44" s="10">
        <v>23678.9</v>
      </c>
      <c r="H44" s="8">
        <v>0</v>
      </c>
      <c r="I44" s="10">
        <v>23678.9</v>
      </c>
      <c r="J44" s="10">
        <v>40352.17</v>
      </c>
      <c r="K44" s="11">
        <v>-7000</v>
      </c>
      <c r="L44" s="10">
        <v>33352.17</v>
      </c>
      <c r="M44" s="10">
        <v>0</v>
      </c>
      <c r="N44" s="8">
        <v>0</v>
      </c>
      <c r="O44" s="10">
        <v>0</v>
      </c>
      <c r="P44" s="10">
        <v>39091.33</v>
      </c>
      <c r="Q44" s="11">
        <v>3000</v>
      </c>
      <c r="R44" s="10">
        <v>42091.33</v>
      </c>
      <c r="S44" s="10">
        <v>12583.49</v>
      </c>
      <c r="T44" s="11">
        <v>2500</v>
      </c>
      <c r="U44" s="10">
        <v>15083.49</v>
      </c>
      <c r="V44" s="7">
        <v>298.5</v>
      </c>
      <c r="W44" s="15">
        <v>186</v>
      </c>
      <c r="X44" s="9">
        <v>484.5</v>
      </c>
      <c r="Y44" s="10">
        <v>29530.7</v>
      </c>
      <c r="Z44" s="13">
        <v>5000</v>
      </c>
      <c r="AA44" s="10">
        <v>34530.7</v>
      </c>
      <c r="AB44" s="10">
        <v>4144.7</v>
      </c>
      <c r="AC44" s="14">
        <v>0</v>
      </c>
      <c r="AD44" s="10">
        <v>4144.7</v>
      </c>
    </row>
    <row r="45" spans="1:30" ht="78.75" x14ac:dyDescent="0.25">
      <c r="A45" s="5" t="inlineStr">
        <is>
          <t>43</t>
        </is>
      </c>
      <c r="B45" s="6" t="inlineStr">
        <is>
          <t>Phòng giao dịch NHCSXH Núi Thành</t>
        </is>
      </c>
      <c r="C45" s="6" t="inlineStr">
        <is>
          <t>Xã Núi Thành</t>
        </is>
      </c>
      <c r="D45" s="7">
        <v>548.5</v>
      </c>
      <c r="E45" s="5">
        <v>-15</v>
      </c>
      <c r="F45" s="9">
        <v>533.5</v>
      </c>
      <c r="G45" s="10">
        <v>991</v>
      </c>
      <c r="H45" s="5">
        <v>-100</v>
      </c>
      <c r="I45" s="10">
        <v>891</v>
      </c>
      <c r="J45" s="10">
        <v>447</v>
      </c>
      <c r="K45" s="5">
        <v>-50</v>
      </c>
      <c r="L45" s="10">
        <v>397</v>
      </c>
      <c r="M45" s="10">
        <v>0</v>
      </c>
      <c r="N45" s="8">
        <v>0</v>
      </c>
      <c r="O45" s="10">
        <v>0</v>
      </c>
      <c r="P45" s="10">
        <v>59528.63</v>
      </c>
      <c r="Q45" s="11">
        <v>7000</v>
      </c>
      <c r="R45" s="10">
        <v>66528.63</v>
      </c>
      <c r="S45" s="10">
        <v>33736.47</v>
      </c>
      <c r="T45" s="11">
        <v>3500</v>
      </c>
      <c r="U45" s="10">
        <v>37236.47</v>
      </c>
      <c r="V45" s="7">
        <v>302.6</v>
      </c>
      <c r="W45" s="15">
        <v>187</v>
      </c>
      <c r="X45" s="9">
        <v>489.6</v>
      </c>
      <c r="Y45" s="10">
        <v>49878</v>
      </c>
      <c r="Z45" s="13">
        <v>8000</v>
      </c>
      <c r="AA45" s="10">
        <v>57878</v>
      </c>
      <c r="AB45" s="10">
        <v>3543.9</v>
      </c>
      <c r="AC45" s="14">
        <v>0</v>
      </c>
      <c r="AD45" s="10">
        <v>3543.9</v>
      </c>
    </row>
    <row r="46" spans="1:30" ht="78.75" x14ac:dyDescent="0.25">
      <c r="A46" s="5" t="inlineStr">
        <is>
          <t>44</t>
        </is>
      </c>
      <c r="B46" s="6" t="inlineStr">
        <is>
          <t>Phòng giao dịch NHCSXH Núi Thành</t>
        </is>
      </c>
      <c r="C46" s="6" t="inlineStr">
        <is>
          <t>Xã Tam Anh</t>
        </is>
      </c>
      <c r="D46" s="7">
        <v>143</v>
      </c>
      <c r="E46" s="5">
        <v>-55</v>
      </c>
      <c r="F46" s="9">
        <v>88</v>
      </c>
      <c r="G46" s="10">
        <v>65279.06</v>
      </c>
      <c r="H46" s="11">
        <v>-14000</v>
      </c>
      <c r="I46" s="10">
        <v>51279.06</v>
      </c>
      <c r="J46" s="10">
        <v>2526.5</v>
      </c>
      <c r="K46" s="11">
        <v>-1650</v>
      </c>
      <c r="L46" s="10">
        <v>876.5</v>
      </c>
      <c r="M46" s="10">
        <v>0</v>
      </c>
      <c r="N46" s="8">
        <v>0</v>
      </c>
      <c r="O46" s="10">
        <v>0</v>
      </c>
      <c r="P46" s="10">
        <v>43160.81</v>
      </c>
      <c r="Q46" s="17">
        <v>3000</v>
      </c>
      <c r="R46" s="10">
        <v>46160.81</v>
      </c>
      <c r="S46" s="10">
        <v>16065.4</v>
      </c>
      <c r="T46" s="11">
        <v>2500</v>
      </c>
      <c r="U46" s="10">
        <v>18565.4</v>
      </c>
      <c r="V46" s="7">
        <v>46</v>
      </c>
      <c r="W46" s="12">
        <v>0</v>
      </c>
      <c r="X46" s="9">
        <v>46</v>
      </c>
      <c r="Y46" s="10">
        <v>21891.5</v>
      </c>
      <c r="Z46" s="13">
        <v>6000</v>
      </c>
      <c r="AA46" s="10">
        <v>27891.5</v>
      </c>
      <c r="AB46" s="10">
        <v>344</v>
      </c>
      <c r="AC46" s="14">
        <v>0</v>
      </c>
      <c r="AD46" s="10">
        <v>344</v>
      </c>
    </row>
    <row r="47" spans="1:30" ht="78.75" x14ac:dyDescent="0.25">
      <c r="A47" s="5" t="inlineStr">
        <is>
          <t>45</t>
        </is>
      </c>
      <c r="B47" s="6" t="inlineStr">
        <is>
          <t>Phòng giao dịch NHCSXH Núi Thành</t>
        </is>
      </c>
      <c r="C47" s="6" t="inlineStr">
        <is>
          <t>Xã Tam Hải</t>
        </is>
      </c>
      <c r="D47" s="7">
        <v>90</v>
      </c>
      <c r="E47" s="8">
        <v>0</v>
      </c>
      <c r="F47" s="9">
        <v>90</v>
      </c>
      <c r="G47" s="10">
        <v>42309.28</v>
      </c>
      <c r="H47" s="11">
        <v>-9850</v>
      </c>
      <c r="I47" s="10">
        <v>32459.28</v>
      </c>
      <c r="J47" s="10">
        <v>33</v>
      </c>
      <c r="K47" s="8">
        <v>0</v>
      </c>
      <c r="L47" s="10">
        <v>33</v>
      </c>
      <c r="M47" s="10">
        <v>0</v>
      </c>
      <c r="N47" s="8">
        <v>0</v>
      </c>
      <c r="O47" s="10">
        <v>0</v>
      </c>
      <c r="P47" s="10">
        <v>18263.83</v>
      </c>
      <c r="Q47" s="11">
        <v>1500</v>
      </c>
      <c r="R47" s="10">
        <v>19763.83</v>
      </c>
      <c r="S47" s="10">
        <v>11671.1</v>
      </c>
      <c r="T47" s="11">
        <v>1500</v>
      </c>
      <c r="U47" s="10">
        <v>13171.1</v>
      </c>
      <c r="V47" s="7">
        <v>0</v>
      </c>
      <c r="W47" s="12">
        <v>0</v>
      </c>
      <c r="X47" s="9">
        <v>0</v>
      </c>
      <c r="Y47" s="10">
        <v>7429</v>
      </c>
      <c r="Z47" s="13">
        <v>3000</v>
      </c>
      <c r="AA47" s="10">
        <v>10429</v>
      </c>
      <c r="AB47" s="10">
        <v>880</v>
      </c>
      <c r="AC47" s="14">
        <v>0</v>
      </c>
      <c r="AD47" s="10">
        <v>880</v>
      </c>
    </row>
    <row r="48" spans="1:30" ht="78.75" x14ac:dyDescent="0.25">
      <c r="A48" s="5" t="inlineStr">
        <is>
          <t>46</t>
        </is>
      </c>
      <c r="B48" s="6" t="inlineStr">
        <is>
          <t>Phòng giao dịch NHCSXH Núi Thành</t>
        </is>
      </c>
      <c r="C48" s="6" t="inlineStr">
        <is>
          <t>Xã Tam Mỹ</t>
        </is>
      </c>
      <c r="D48" s="7">
        <v>1547</v>
      </c>
      <c r="E48" s="5">
        <v>-480</v>
      </c>
      <c r="F48" s="9">
        <v>1067</v>
      </c>
      <c r="G48" s="10">
        <v>19335.8</v>
      </c>
      <c r="H48" s="11">
        <v>-1000</v>
      </c>
      <c r="I48" s="10">
        <v>18335.8</v>
      </c>
      <c r="J48" s="10">
        <v>1923.5</v>
      </c>
      <c r="K48" s="5">
        <v>-850</v>
      </c>
      <c r="L48" s="10">
        <v>1073.5</v>
      </c>
      <c r="M48" s="10">
        <v>5455.5</v>
      </c>
      <c r="N48" s="5">
        <v>-600</v>
      </c>
      <c r="O48" s="10">
        <v>4855.5</v>
      </c>
      <c r="P48" s="10">
        <v>27690.15</v>
      </c>
      <c r="Q48" s="11">
        <v>3000</v>
      </c>
      <c r="R48" s="10">
        <v>30690.15</v>
      </c>
      <c r="S48" s="10">
        <v>7283.46</v>
      </c>
      <c r="T48" s="11">
        <v>1000</v>
      </c>
      <c r="U48" s="10">
        <v>8283.46</v>
      </c>
      <c r="V48" s="7">
        <v>50</v>
      </c>
      <c r="W48" s="12">
        <v>0</v>
      </c>
      <c r="X48" s="9">
        <v>50</v>
      </c>
      <c r="Y48" s="10">
        <v>21691.2</v>
      </c>
      <c r="Z48" s="13">
        <v>3000</v>
      </c>
      <c r="AA48" s="10">
        <v>24691.2</v>
      </c>
      <c r="AB48" s="10">
        <v>847.16</v>
      </c>
      <c r="AC48" s="14">
        <v>0</v>
      </c>
      <c r="AD48" s="10">
        <v>847.16</v>
      </c>
    </row>
    <row r="49" spans="1:30" ht="78.75" x14ac:dyDescent="0.25">
      <c r="A49" s="5" t="inlineStr">
        <is>
          <t>47</t>
        </is>
      </c>
      <c r="B49" s="6" t="inlineStr">
        <is>
          <t>Phòng giao dịch NHCSXH Núi Thành</t>
        </is>
      </c>
      <c r="C49" s="6" t="inlineStr">
        <is>
          <t>Xã Đức Phú</t>
        </is>
      </c>
      <c r="D49" s="7">
        <v>668</v>
      </c>
      <c r="E49" s="5">
        <v>-100</v>
      </c>
      <c r="F49" s="9">
        <v>568</v>
      </c>
      <c r="G49" s="10">
        <v>557.2</v>
      </c>
      <c r="H49" s="5">
        <v>-50</v>
      </c>
      <c r="I49" s="10">
        <v>507.2</v>
      </c>
      <c r="J49" s="10">
        <v>1091.27</v>
      </c>
      <c r="K49" s="5">
        <v>-450</v>
      </c>
      <c r="L49" s="10">
        <v>641.27</v>
      </c>
      <c r="M49" s="10">
        <v>9369.5</v>
      </c>
      <c r="N49" s="11">
        <v>-1400</v>
      </c>
      <c r="O49" s="10">
        <v>7969.5</v>
      </c>
      <c r="P49" s="10">
        <v>14727.4</v>
      </c>
      <c r="Q49" s="11">
        <v>1500</v>
      </c>
      <c r="R49" s="10">
        <v>16227.4</v>
      </c>
      <c r="S49" s="10">
        <v>5103.86</v>
      </c>
      <c r="T49" s="11">
        <v>1000</v>
      </c>
      <c r="U49" s="10">
        <v>6103.86</v>
      </c>
      <c r="V49" s="7">
        <v>100</v>
      </c>
      <c r="W49" s="12">
        <v>0</v>
      </c>
      <c r="X49" s="9">
        <v>100</v>
      </c>
      <c r="Y49" s="10">
        <v>15155</v>
      </c>
      <c r="Z49" s="13">
        <v>3000</v>
      </c>
      <c r="AA49" s="10">
        <v>18155</v>
      </c>
      <c r="AB49" s="10">
        <v>1000</v>
      </c>
      <c r="AC49" s="14">
        <v>0</v>
      </c>
      <c r="AD49" s="10">
        <v>1000</v>
      </c>
    </row>
    <row r="50" spans="1:30" ht="78.75" x14ac:dyDescent="0.25">
      <c r="A50" s="5" t="inlineStr">
        <is>
          <t>48</t>
        </is>
      </c>
      <c r="B50" s="6" t="inlineStr">
        <is>
          <t>Phòng giao dịch NHCSXH Quảng Nam</t>
        </is>
      </c>
      <c r="C50" s="6" t="inlineStr">
        <is>
          <t>Phường Bàn Thạch</t>
        </is>
      </c>
      <c r="D50" s="7">
        <v>52</v>
      </c>
      <c r="E50" s="5">
        <v>-5</v>
      </c>
      <c r="F50" s="9">
        <v>47</v>
      </c>
      <c r="G50" s="10">
        <v>245</v>
      </c>
      <c r="H50" s="5">
        <v>-100</v>
      </c>
      <c r="I50" s="10">
        <v>145</v>
      </c>
      <c r="J50" s="10">
        <v>38</v>
      </c>
      <c r="K50" s="18">
        <v>0</v>
      </c>
      <c r="L50" s="10">
        <v>38</v>
      </c>
      <c r="M50" s="10">
        <v>50</v>
      </c>
      <c r="N50" s="8">
        <v>0</v>
      </c>
      <c r="O50" s="10">
        <v>50</v>
      </c>
      <c r="P50" s="10">
        <v>8059.5</v>
      </c>
      <c r="Q50" s="19">
        <v>-700</v>
      </c>
      <c r="R50" s="10">
        <v>7359.5</v>
      </c>
      <c r="S50" s="10">
        <v>8611.97</v>
      </c>
      <c r="T50" s="5">
        <v>700</v>
      </c>
      <c r="U50" s="10">
        <v>9311.97</v>
      </c>
      <c r="V50" s="7">
        <v>193</v>
      </c>
      <c r="W50" s="19">
        <v>-15</v>
      </c>
      <c r="X50" s="9">
        <v>178</v>
      </c>
      <c r="Y50" s="10">
        <v>22811.38</v>
      </c>
      <c r="Z50" s="13">
        <v>4000</v>
      </c>
      <c r="AA50" s="10">
        <v>26811.38</v>
      </c>
      <c r="AB50" s="10">
        <v>989.5</v>
      </c>
      <c r="AC50" s="14">
        <v>0</v>
      </c>
      <c r="AD50" s="10">
        <v>989.5</v>
      </c>
    </row>
    <row r="51" spans="1:30" ht="78.75" x14ac:dyDescent="0.25">
      <c r="A51" s="5" t="inlineStr">
        <is>
          <t>49</t>
        </is>
      </c>
      <c r="B51" s="6" t="inlineStr">
        <is>
          <t>Phòng giao dịch NHCSXH Quảng Nam</t>
        </is>
      </c>
      <c r="C51" s="6" t="inlineStr">
        <is>
          <t>Phường Hương Trà</t>
        </is>
      </c>
      <c r="D51" s="7">
        <v>41</v>
      </c>
      <c r="E51" s="5">
        <v>-35</v>
      </c>
      <c r="F51" s="9">
        <v>6</v>
      </c>
      <c r="G51" s="10">
        <v>512</v>
      </c>
      <c r="H51" s="5">
        <v>-200</v>
      </c>
      <c r="I51" s="10">
        <v>312</v>
      </c>
      <c r="J51" s="10">
        <v>284.8</v>
      </c>
      <c r="K51" s="19">
        <v>-90</v>
      </c>
      <c r="L51" s="10">
        <v>194.8</v>
      </c>
      <c r="M51" s="10">
        <v>0</v>
      </c>
      <c r="N51" s="8">
        <v>0</v>
      </c>
      <c r="O51" s="10">
        <v>0</v>
      </c>
      <c r="P51" s="10">
        <v>6231.65</v>
      </c>
      <c r="Q51" s="19">
        <v>-900</v>
      </c>
      <c r="R51" s="10">
        <v>5331.65</v>
      </c>
      <c r="S51" s="10">
        <v>14904.45</v>
      </c>
      <c r="T51" s="11">
        <v>1100</v>
      </c>
      <c r="U51" s="10">
        <v>16004.45</v>
      </c>
      <c r="V51" s="7">
        <v>139.5</v>
      </c>
      <c r="W51" s="19">
        <v>-35</v>
      </c>
      <c r="X51" s="9">
        <v>104.5</v>
      </c>
      <c r="Y51" s="10">
        <v>22135.4</v>
      </c>
      <c r="Z51" s="13">
        <v>6000</v>
      </c>
      <c r="AA51" s="10">
        <v>28135.4</v>
      </c>
      <c r="AB51" s="10">
        <v>1457.3</v>
      </c>
      <c r="AC51" s="14">
        <v>0</v>
      </c>
      <c r="AD51" s="10">
        <v>1457.3</v>
      </c>
    </row>
    <row r="52" spans="1:30" ht="78.75" x14ac:dyDescent="0.25">
      <c r="A52" s="5" t="inlineStr">
        <is>
          <t>50</t>
        </is>
      </c>
      <c r="B52" s="6" t="inlineStr">
        <is>
          <t>Phòng giao dịch NHCSXH Quảng Nam</t>
        </is>
      </c>
      <c r="C52" s="6" t="inlineStr">
        <is>
          <t>Phường Quảng Phú</t>
        </is>
      </c>
      <c r="D52" s="7">
        <v>0</v>
      </c>
      <c r="E52" s="8">
        <v>0</v>
      </c>
      <c r="F52" s="9">
        <v>0</v>
      </c>
      <c r="G52" s="10">
        <v>59.79</v>
      </c>
      <c r="H52" s="5">
        <v>-30</v>
      </c>
      <c r="I52" s="10">
        <v>29.79</v>
      </c>
      <c r="J52" s="10">
        <v>3.02</v>
      </c>
      <c r="K52" s="18">
        <v>0</v>
      </c>
      <c r="L52" s="10">
        <v>3.02</v>
      </c>
      <c r="M52" s="10">
        <v>0</v>
      </c>
      <c r="N52" s="8">
        <v>0</v>
      </c>
      <c r="O52" s="10">
        <v>0</v>
      </c>
      <c r="P52" s="10">
        <v>20134.43</v>
      </c>
      <c r="Q52" s="20">
        <v>-3000</v>
      </c>
      <c r="R52" s="10">
        <v>17134.43</v>
      </c>
      <c r="S52" s="10">
        <v>8985.4</v>
      </c>
      <c r="T52" s="5">
        <v>700</v>
      </c>
      <c r="U52" s="10">
        <v>9685.4</v>
      </c>
      <c r="V52" s="7">
        <v>41.5</v>
      </c>
      <c r="W52" s="19">
        <v>-10</v>
      </c>
      <c r="X52" s="9">
        <v>31.5</v>
      </c>
      <c r="Y52" s="10">
        <v>24102.85</v>
      </c>
      <c r="Z52" s="13">
        <v>4000</v>
      </c>
      <c r="AA52" s="10">
        <v>28102.85</v>
      </c>
      <c r="AB52" s="10">
        <v>894</v>
      </c>
      <c r="AC52" s="14">
        <v>0</v>
      </c>
      <c r="AD52" s="10">
        <v>894</v>
      </c>
    </row>
    <row r="53" spans="1:30" ht="78.75" x14ac:dyDescent="0.25">
      <c r="A53" s="5" t="inlineStr">
        <is>
          <t>51</t>
        </is>
      </c>
      <c r="B53" s="6" t="inlineStr">
        <is>
          <t>Phòng giao dịch NHCSXH Quảng Nam</t>
        </is>
      </c>
      <c r="C53" s="6" t="inlineStr">
        <is>
          <t>Phường Tam Kỳ</t>
        </is>
      </c>
      <c r="D53" s="7">
        <v>0</v>
      </c>
      <c r="E53" s="8">
        <v>0</v>
      </c>
      <c r="F53" s="9">
        <v>0</v>
      </c>
      <c r="G53" s="10">
        <v>209.5</v>
      </c>
      <c r="H53" s="5">
        <v>-100</v>
      </c>
      <c r="I53" s="10">
        <v>109.5</v>
      </c>
      <c r="J53" s="10">
        <v>198.7</v>
      </c>
      <c r="K53" s="19">
        <v>-5</v>
      </c>
      <c r="L53" s="10">
        <v>193.7</v>
      </c>
      <c r="M53" s="10">
        <v>0</v>
      </c>
      <c r="N53" s="8">
        <v>0</v>
      </c>
      <c r="O53" s="10">
        <v>0</v>
      </c>
      <c r="P53" s="10">
        <v>0</v>
      </c>
      <c r="Q53" s="18">
        <v>0</v>
      </c>
      <c r="R53" s="10">
        <v>0</v>
      </c>
      <c r="S53" s="10">
        <v>17739.12</v>
      </c>
      <c r="T53" s="11">
        <v>1100</v>
      </c>
      <c r="U53" s="10">
        <v>18839.12</v>
      </c>
      <c r="V53" s="7">
        <v>46.5</v>
      </c>
      <c r="W53" s="19">
        <v>-10</v>
      </c>
      <c r="X53" s="9">
        <v>36.5</v>
      </c>
      <c r="Y53" s="10">
        <v>23036.22</v>
      </c>
      <c r="Z53" s="13">
        <v>4000</v>
      </c>
      <c r="AA53" s="10">
        <v>27036.22</v>
      </c>
      <c r="AB53" s="10">
        <v>1226.3</v>
      </c>
      <c r="AC53" s="14">
        <v>0</v>
      </c>
      <c r="AD53" s="10">
        <v>1226.3</v>
      </c>
    </row>
    <row r="54" spans="1:30" ht="78.75" x14ac:dyDescent="0.25">
      <c r="A54" s="5" t="inlineStr">
        <is>
          <t>52</t>
        </is>
      </c>
      <c r="B54" s="6" t="inlineStr">
        <is>
          <t>Phòng giao dịch NHCSXH Quảng Nam</t>
        </is>
      </c>
      <c r="C54" s="6" t="inlineStr">
        <is>
          <t>Xã Tam Xuân</t>
        </is>
      </c>
      <c r="D54" s="7">
        <v>153</v>
      </c>
      <c r="E54" s="5">
        <v>-35</v>
      </c>
      <c r="F54" s="9">
        <v>118</v>
      </c>
      <c r="G54" s="10">
        <v>84507.31</v>
      </c>
      <c r="H54" s="11">
        <v>-19820</v>
      </c>
      <c r="I54" s="10">
        <v>64687.31</v>
      </c>
      <c r="J54" s="10">
        <v>3813.75</v>
      </c>
      <c r="K54" s="20">
        <v>-1555</v>
      </c>
      <c r="L54" s="10">
        <v>2258.75</v>
      </c>
      <c r="M54" s="10">
        <v>0</v>
      </c>
      <c r="N54" s="8">
        <v>0</v>
      </c>
      <c r="O54" s="10">
        <v>0</v>
      </c>
      <c r="P54" s="10">
        <v>66838.84</v>
      </c>
      <c r="Q54" s="20">
        <v>17155</v>
      </c>
      <c r="R54" s="10">
        <v>83993.84</v>
      </c>
      <c r="S54" s="10">
        <v>26136.8</v>
      </c>
      <c r="T54" s="5">
        <v>900</v>
      </c>
      <c r="U54" s="10">
        <v>27036.8</v>
      </c>
      <c r="V54" s="7">
        <v>180</v>
      </c>
      <c r="W54" s="19">
        <v>-80</v>
      </c>
      <c r="X54" s="9">
        <v>100</v>
      </c>
      <c r="Y54" s="10">
        <v>27005.1</v>
      </c>
      <c r="Z54" s="13">
        <v>9000</v>
      </c>
      <c r="AA54" s="10">
        <v>36005.1</v>
      </c>
      <c r="AB54" s="10">
        <v>1033.89</v>
      </c>
      <c r="AC54" s="14">
        <v>0</v>
      </c>
      <c r="AD54" s="10">
        <v>1033.89</v>
      </c>
    </row>
    <row r="55" spans="1:30" ht="78.75" x14ac:dyDescent="0.25">
      <c r="A55" s="5" t="inlineStr">
        <is>
          <t>53</t>
        </is>
      </c>
      <c r="B55" s="6" t="inlineStr">
        <is>
          <t>Phòng giao dịch NHCSXH Tiên Phước</t>
        </is>
      </c>
      <c r="C55" s="6" t="inlineStr">
        <is>
          <t>Xã Lãnh Ngọc</t>
        </is>
      </c>
      <c r="D55" s="7">
        <v>1139</v>
      </c>
      <c r="E55" s="5">
        <v>-200</v>
      </c>
      <c r="F55" s="9">
        <v>939</v>
      </c>
      <c r="G55" s="10">
        <v>35425</v>
      </c>
      <c r="H55" s="5">
        <v>-400</v>
      </c>
      <c r="I55" s="10">
        <v>35025</v>
      </c>
      <c r="J55" s="10">
        <v>38626.7</v>
      </c>
      <c r="K55" s="11">
        <v>-3500</v>
      </c>
      <c r="L55" s="10">
        <v>35126.7</v>
      </c>
      <c r="M55" s="10">
        <v>5383.96</v>
      </c>
      <c r="N55" s="8">
        <v>0</v>
      </c>
      <c r="O55" s="10">
        <v>5383.96</v>
      </c>
      <c r="P55" s="10">
        <v>15560</v>
      </c>
      <c r="Q55" s="11">
        <v>2000</v>
      </c>
      <c r="R55" s="10">
        <v>17560</v>
      </c>
      <c r="S55" s="10">
        <v>2771.3</v>
      </c>
      <c r="T55" s="11">
        <v>1500</v>
      </c>
      <c r="U55" s="10">
        <v>4271.3</v>
      </c>
      <c r="V55" s="7">
        <v>200</v>
      </c>
      <c r="W55" s="12">
        <v>0</v>
      </c>
      <c r="X55" s="9">
        <v>200</v>
      </c>
      <c r="Y55" s="10">
        <v>26682.13</v>
      </c>
      <c r="Z55" s="13">
        <v>5000</v>
      </c>
      <c r="AA55" s="10">
        <v>31682.13</v>
      </c>
      <c r="AB55" s="10">
        <v>889.42</v>
      </c>
      <c r="AC55" s="14">
        <v>0</v>
      </c>
      <c r="AD55" s="10">
        <v>889.42</v>
      </c>
    </row>
    <row r="56" spans="1:30" ht="78.75" x14ac:dyDescent="0.25">
      <c r="A56" s="5" t="inlineStr">
        <is>
          <t>54</t>
        </is>
      </c>
      <c r="B56" s="6" t="inlineStr">
        <is>
          <t>Phòng giao dịch NHCSXH Tiên Phước</t>
        </is>
      </c>
      <c r="C56" s="6" t="inlineStr">
        <is>
          <t>Xã Sơn Cẩm Hà</t>
        </is>
      </c>
      <c r="D56" s="7">
        <v>1534.2</v>
      </c>
      <c r="E56" s="5">
        <v>-200</v>
      </c>
      <c r="F56" s="9">
        <v>1334.2</v>
      </c>
      <c r="G56" s="10">
        <v>36259.12</v>
      </c>
      <c r="H56" s="5">
        <v>-200</v>
      </c>
      <c r="I56" s="10">
        <v>36059.12</v>
      </c>
      <c r="J56" s="10">
        <v>55838.12</v>
      </c>
      <c r="K56" s="11">
        <v>-3500</v>
      </c>
      <c r="L56" s="10">
        <v>52338.12</v>
      </c>
      <c r="M56" s="10">
        <v>2525.96</v>
      </c>
      <c r="N56" s="8">
        <v>0</v>
      </c>
      <c r="O56" s="10">
        <v>2525.96</v>
      </c>
      <c r="P56" s="10">
        <v>23492.87</v>
      </c>
      <c r="Q56" s="11">
        <v>1464</v>
      </c>
      <c r="R56" s="10">
        <v>24956.87</v>
      </c>
      <c r="S56" s="10">
        <v>5129.3</v>
      </c>
      <c r="T56" s="11">
        <v>1800</v>
      </c>
      <c r="U56" s="10">
        <v>6929.3</v>
      </c>
      <c r="V56" s="7">
        <v>0</v>
      </c>
      <c r="W56" s="12">
        <v>0</v>
      </c>
      <c r="X56" s="9">
        <v>0</v>
      </c>
      <c r="Y56" s="10">
        <v>26182.98</v>
      </c>
      <c r="Z56" s="13">
        <v>5000</v>
      </c>
      <c r="AA56" s="10">
        <v>31182.98</v>
      </c>
      <c r="AB56" s="10">
        <v>1442</v>
      </c>
      <c r="AC56" s="14">
        <v>0</v>
      </c>
      <c r="AD56" s="10">
        <v>1442</v>
      </c>
    </row>
    <row r="57" spans="1:30" ht="78.75" x14ac:dyDescent="0.25">
      <c r="A57" s="5" t="inlineStr">
        <is>
          <t>55</t>
        </is>
      </c>
      <c r="B57" s="6" t="inlineStr">
        <is>
          <t>Phòng giao dịch NHCSXH Tiên Phước</t>
        </is>
      </c>
      <c r="C57" s="6" t="inlineStr">
        <is>
          <t>Xã Thạnh Bình</t>
        </is>
      </c>
      <c r="D57" s="7">
        <v>2086</v>
      </c>
      <c r="E57" s="5">
        <v>-400</v>
      </c>
      <c r="F57" s="9">
        <v>1686</v>
      </c>
      <c r="G57" s="10">
        <v>38736.18</v>
      </c>
      <c r="H57" s="5">
        <v>-400</v>
      </c>
      <c r="I57" s="10">
        <v>38336.18</v>
      </c>
      <c r="J57" s="10">
        <v>44789.89</v>
      </c>
      <c r="K57" s="11">
        <v>-1522</v>
      </c>
      <c r="L57" s="10">
        <v>43267.89</v>
      </c>
      <c r="M57" s="10">
        <v>3745.3</v>
      </c>
      <c r="N57" s="11">
        <v>-1700</v>
      </c>
      <c r="O57" s="10">
        <v>2045.3</v>
      </c>
      <c r="P57" s="10">
        <v>26772.6</v>
      </c>
      <c r="Q57" s="11">
        <v>2000</v>
      </c>
      <c r="R57" s="10">
        <v>28772.6</v>
      </c>
      <c r="S57" s="10">
        <v>6398.24</v>
      </c>
      <c r="T57" s="11">
        <v>1643</v>
      </c>
      <c r="U57" s="10">
        <v>8041.24</v>
      </c>
      <c r="V57" s="7">
        <v>200</v>
      </c>
      <c r="W57" s="12">
        <v>0</v>
      </c>
      <c r="X57" s="9">
        <v>200</v>
      </c>
      <c r="Y57" s="10">
        <v>30457.6</v>
      </c>
      <c r="Z57" s="13">
        <v>2000</v>
      </c>
      <c r="AA57" s="10">
        <v>32457.6</v>
      </c>
      <c r="AB57" s="10">
        <v>1584.54</v>
      </c>
      <c r="AC57" s="14">
        <v>0</v>
      </c>
      <c r="AD57" s="10">
        <v>1584.54</v>
      </c>
    </row>
    <row r="58" spans="1:30" ht="78.75" x14ac:dyDescent="0.25">
      <c r="A58" s="5" t="inlineStr">
        <is>
          <t>56</t>
        </is>
      </c>
      <c r="B58" s="6" t="inlineStr">
        <is>
          <t>Phòng giao dịch NHCSXH Tiên Phước</t>
        </is>
      </c>
      <c r="C58" s="6" t="inlineStr">
        <is>
          <t>Xã Tiên Phước</t>
        </is>
      </c>
      <c r="D58" s="7">
        <v>1093.8</v>
      </c>
      <c r="E58" s="5">
        <v>-151</v>
      </c>
      <c r="F58" s="9">
        <v>942.8</v>
      </c>
      <c r="G58" s="10">
        <v>27531.2</v>
      </c>
      <c r="H58" s="5">
        <v>-500</v>
      </c>
      <c r="I58" s="10">
        <v>27031.2</v>
      </c>
      <c r="J58" s="10">
        <v>43234.47</v>
      </c>
      <c r="K58" s="11">
        <v>-1600</v>
      </c>
      <c r="L58" s="10">
        <v>41634.47</v>
      </c>
      <c r="M58" s="10">
        <v>3147.17</v>
      </c>
      <c r="N58" s="8">
        <v>0</v>
      </c>
      <c r="O58" s="10">
        <v>3147.17</v>
      </c>
      <c r="P58" s="10">
        <v>26734.95</v>
      </c>
      <c r="Q58" s="11">
        <v>2000</v>
      </c>
      <c r="R58" s="10">
        <v>28734.95</v>
      </c>
      <c r="S58" s="10">
        <v>11884.4</v>
      </c>
      <c r="T58" s="11">
        <v>1900</v>
      </c>
      <c r="U58" s="10">
        <v>13784.4</v>
      </c>
      <c r="V58" s="7">
        <v>191</v>
      </c>
      <c r="W58" s="12">
        <v>0</v>
      </c>
      <c r="X58" s="9">
        <v>191</v>
      </c>
      <c r="Y58" s="10">
        <v>46018.05</v>
      </c>
      <c r="Z58" s="13">
        <v>5000</v>
      </c>
      <c r="AA58" s="10">
        <v>51018.05</v>
      </c>
      <c r="AB58" s="10">
        <v>1276.55</v>
      </c>
      <c r="AC58" s="14">
        <v>0</v>
      </c>
      <c r="AD58" s="10">
        <v>1276.55</v>
      </c>
    </row>
    <row r="59" spans="1:30" ht="78.75" x14ac:dyDescent="0.25">
      <c r="A59" s="5" t="inlineStr">
        <is>
          <t>57</t>
        </is>
      </c>
      <c r="B59" s="6" t="inlineStr">
        <is>
          <t>Phòng giao dịch NHCSXH Hội An</t>
        </is>
      </c>
      <c r="C59" s="6" t="inlineStr">
        <is>
          <t>Phường Hội An</t>
        </is>
      </c>
      <c r="D59" s="7">
        <v>0</v>
      </c>
      <c r="E59" s="8">
        <v>0</v>
      </c>
      <c r="F59" s="9">
        <v>0</v>
      </c>
      <c r="G59" s="10">
        <v>0</v>
      </c>
      <c r="H59" s="8">
        <v>0</v>
      </c>
      <c r="I59" s="10">
        <v>0</v>
      </c>
      <c r="J59" s="10">
        <v>20</v>
      </c>
      <c r="K59" s="8">
        <v>0</v>
      </c>
      <c r="L59" s="10">
        <v>20</v>
      </c>
      <c r="M59" s="10">
        <v>0</v>
      </c>
      <c r="N59" s="8">
        <v>0</v>
      </c>
      <c r="O59" s="10">
        <v>0</v>
      </c>
      <c r="P59" s="10">
        <v>3666.15</v>
      </c>
      <c r="Q59" s="11">
        <v>-1200</v>
      </c>
      <c r="R59" s="10">
        <v>2466.15</v>
      </c>
      <c r="S59" s="10">
        <v>18921</v>
      </c>
      <c r="T59" s="11">
        <v>1300</v>
      </c>
      <c r="U59" s="10">
        <v>20221</v>
      </c>
      <c r="V59" s="7">
        <v>78</v>
      </c>
      <c r="W59" s="12">
        <v>0</v>
      </c>
      <c r="X59" s="9">
        <v>78</v>
      </c>
      <c r="Y59" s="10">
        <v>20210.2</v>
      </c>
      <c r="Z59" s="13">
        <v>-1200</v>
      </c>
      <c r="AA59" s="10">
        <v>19010.2</v>
      </c>
      <c r="AB59" s="10">
        <v>432</v>
      </c>
      <c r="AC59" s="14">
        <v>0</v>
      </c>
      <c r="AD59" s="10">
        <v>432</v>
      </c>
    </row>
    <row r="60" spans="1:30" ht="78.75" x14ac:dyDescent="0.25">
      <c r="A60" s="5" t="inlineStr">
        <is>
          <t>58</t>
        </is>
      </c>
      <c r="B60" s="6" t="inlineStr">
        <is>
          <t>Phòng giao dịch NHCSXH Hội An</t>
        </is>
      </c>
      <c r="C60" s="6" t="inlineStr">
        <is>
          <t>Phường Hội An Tây</t>
        </is>
      </c>
      <c r="D60" s="7">
        <v>0</v>
      </c>
      <c r="E60" s="8">
        <v>0</v>
      </c>
      <c r="F60" s="9">
        <v>0</v>
      </c>
      <c r="G60" s="10">
        <v>0</v>
      </c>
      <c r="H60" s="8">
        <v>0</v>
      </c>
      <c r="I60" s="10">
        <v>0</v>
      </c>
      <c r="J60" s="10">
        <v>0</v>
      </c>
      <c r="K60" s="8">
        <v>0</v>
      </c>
      <c r="L60" s="10">
        <v>0</v>
      </c>
      <c r="M60" s="10">
        <v>0</v>
      </c>
      <c r="N60" s="8">
        <v>0</v>
      </c>
      <c r="O60" s="10">
        <v>0</v>
      </c>
      <c r="P60" s="10">
        <v>5801.8</v>
      </c>
      <c r="Q60" s="11">
        <v>-1650</v>
      </c>
      <c r="R60" s="10">
        <v>4151.8</v>
      </c>
      <c r="S60" s="10">
        <v>23430.31</v>
      </c>
      <c r="T60" s="11">
        <v>1350</v>
      </c>
      <c r="U60" s="10">
        <v>24780.31</v>
      </c>
      <c r="V60" s="7">
        <v>74</v>
      </c>
      <c r="W60" s="12">
        <v>0</v>
      </c>
      <c r="X60" s="9">
        <v>74</v>
      </c>
      <c r="Y60" s="10">
        <v>32108.3</v>
      </c>
      <c r="Z60" s="13">
        <v>-1300</v>
      </c>
      <c r="AA60" s="10">
        <v>30808.3</v>
      </c>
      <c r="AB60" s="10">
        <v>3183</v>
      </c>
      <c r="AC60" s="14">
        <v>0</v>
      </c>
      <c r="AD60" s="10">
        <v>3183</v>
      </c>
    </row>
    <row r="61" spans="1:30" ht="78.75" x14ac:dyDescent="0.25">
      <c r="A61" s="5" t="inlineStr">
        <is>
          <t>59</t>
        </is>
      </c>
      <c r="B61" s="6" t="inlineStr">
        <is>
          <t>Phòng giao dịch NHCSXH Hội An</t>
        </is>
      </c>
      <c r="C61" s="6" t="inlineStr">
        <is>
          <t>Phường Hội An Đông</t>
        </is>
      </c>
      <c r="D61" s="7">
        <v>0</v>
      </c>
      <c r="E61" s="8">
        <v>0</v>
      </c>
      <c r="F61" s="9">
        <v>0</v>
      </c>
      <c r="G61" s="10">
        <v>18</v>
      </c>
      <c r="H61" s="8">
        <v>0</v>
      </c>
      <c r="I61" s="10">
        <v>18</v>
      </c>
      <c r="J61" s="10">
        <v>0</v>
      </c>
      <c r="K61" s="8">
        <v>0</v>
      </c>
      <c r="L61" s="10">
        <v>0</v>
      </c>
      <c r="M61" s="10">
        <v>0</v>
      </c>
      <c r="N61" s="8">
        <v>0</v>
      </c>
      <c r="O61" s="10">
        <v>0</v>
      </c>
      <c r="P61" s="10">
        <v>5433.8</v>
      </c>
      <c r="Q61" s="11">
        <v>-1600</v>
      </c>
      <c r="R61" s="10">
        <v>3833.8</v>
      </c>
      <c r="S61" s="10">
        <v>11374.3</v>
      </c>
      <c r="T61" s="11">
        <v>1250</v>
      </c>
      <c r="U61" s="10">
        <v>12624.3</v>
      </c>
      <c r="V61" s="7">
        <v>0</v>
      </c>
      <c r="W61" s="12">
        <v>0</v>
      </c>
      <c r="X61" s="9">
        <v>0</v>
      </c>
      <c r="Y61" s="10">
        <v>25545.3</v>
      </c>
      <c r="Z61" s="13">
        <v>-1000</v>
      </c>
      <c r="AA61" s="10">
        <v>24545.3</v>
      </c>
      <c r="AB61" s="10">
        <v>653</v>
      </c>
      <c r="AC61" s="14">
        <v>0</v>
      </c>
      <c r="AD61" s="10">
        <v>653</v>
      </c>
    </row>
    <row r="62" spans="1:30" ht="78.75" x14ac:dyDescent="0.25">
      <c r="A62" s="5" t="inlineStr">
        <is>
          <t>60</t>
        </is>
      </c>
      <c r="B62" s="6" t="inlineStr">
        <is>
          <t>Phòng giao dịch NHCSXH Hội An</t>
        </is>
      </c>
      <c r="C62" s="6" t="inlineStr">
        <is>
          <t>Xã Tân Hiệp</t>
        </is>
      </c>
      <c r="D62" s="7">
        <v>0</v>
      </c>
      <c r="E62" s="8">
        <v>0</v>
      </c>
      <c r="F62" s="9">
        <v>0</v>
      </c>
      <c r="G62" s="10">
        <v>0</v>
      </c>
      <c r="H62" s="8">
        <v>0</v>
      </c>
      <c r="I62" s="10">
        <v>0</v>
      </c>
      <c r="J62" s="10">
        <v>0</v>
      </c>
      <c r="K62" s="8">
        <v>0</v>
      </c>
      <c r="L62" s="10">
        <v>0</v>
      </c>
      <c r="M62" s="10">
        <v>0</v>
      </c>
      <c r="N62" s="8">
        <v>0</v>
      </c>
      <c r="O62" s="10">
        <v>0</v>
      </c>
      <c r="P62" s="10">
        <v>2463.65</v>
      </c>
      <c r="Q62" s="5">
        <v>-550</v>
      </c>
      <c r="R62" s="10">
        <v>1913.65</v>
      </c>
      <c r="S62" s="10">
        <v>57.5</v>
      </c>
      <c r="T62" s="5">
        <v>100</v>
      </c>
      <c r="U62" s="10">
        <v>157.5</v>
      </c>
      <c r="V62" s="7">
        <v>0</v>
      </c>
      <c r="W62" s="12">
        <v>0</v>
      </c>
      <c r="X62" s="9">
        <v>0</v>
      </c>
      <c r="Y62" s="10">
        <v>4132</v>
      </c>
      <c r="Z62" s="13">
        <v>-1500</v>
      </c>
      <c r="AA62" s="10">
        <v>2632</v>
      </c>
      <c r="AB62" s="10">
        <v>0</v>
      </c>
      <c r="AC62" s="14">
        <v>0</v>
      </c>
      <c r="AD62" s="10">
        <v>0</v>
      </c>
    </row>
    <row r="63" spans="1:30" ht="78.75" x14ac:dyDescent="0.25">
      <c r="A63" s="5" t="inlineStr">
        <is>
          <t>61</t>
        </is>
      </c>
      <c r="B63" s="6" t="inlineStr">
        <is>
          <t>Phòng giao dịch NHCSXH Nam Giang</t>
        </is>
      </c>
      <c r="C63" s="6" t="inlineStr">
        <is>
          <t>Xã Bến Giằng</t>
        </is>
      </c>
      <c r="D63" s="7">
        <v>29157.7</v>
      </c>
      <c r="E63" s="5">
        <v>700</v>
      </c>
      <c r="F63" s="9">
        <v>29857.7</v>
      </c>
      <c r="G63" s="10">
        <v>6132</v>
      </c>
      <c r="H63" s="5">
        <v>400</v>
      </c>
      <c r="I63" s="10">
        <v>6532</v>
      </c>
      <c r="J63" s="10">
        <v>4459.5</v>
      </c>
      <c r="K63" s="5">
        <v>-400</v>
      </c>
      <c r="L63" s="10">
        <v>4059.5</v>
      </c>
      <c r="M63" s="10">
        <v>16457.24</v>
      </c>
      <c r="N63" s="11">
        <v>3000</v>
      </c>
      <c r="O63" s="10">
        <v>19457.24</v>
      </c>
      <c r="P63" s="10">
        <v>0</v>
      </c>
      <c r="Q63" s="8">
        <v>0</v>
      </c>
      <c r="R63" s="10">
        <v>0</v>
      </c>
      <c r="S63" s="10">
        <v>256</v>
      </c>
      <c r="T63" s="8">
        <v>0</v>
      </c>
      <c r="U63" s="10">
        <v>256</v>
      </c>
      <c r="V63" s="7">
        <v>0</v>
      </c>
      <c r="W63" s="12">
        <v>0</v>
      </c>
      <c r="X63" s="9">
        <v>0</v>
      </c>
      <c r="Y63" s="10">
        <v>11594</v>
      </c>
      <c r="Z63" s="12">
        <v>0</v>
      </c>
      <c r="AA63" s="10">
        <v>11594</v>
      </c>
      <c r="AB63" s="10">
        <v>385</v>
      </c>
      <c r="AC63" s="14">
        <v>0</v>
      </c>
      <c r="AD63" s="10">
        <v>385</v>
      </c>
    </row>
    <row r="64" spans="1:30" ht="78.75" x14ac:dyDescent="0.25">
      <c r="A64" s="5" t="inlineStr">
        <is>
          <t>62</t>
        </is>
      </c>
      <c r="B64" s="6" t="inlineStr">
        <is>
          <t>Phòng giao dịch NHCSXH Nam Giang</t>
        </is>
      </c>
      <c r="C64" s="6" t="inlineStr">
        <is>
          <t>Xã La Dêê</t>
        </is>
      </c>
      <c r="D64" s="7">
        <v>11123</v>
      </c>
      <c r="E64" s="5">
        <v>700</v>
      </c>
      <c r="F64" s="9">
        <v>11823</v>
      </c>
      <c r="G64" s="10">
        <v>268</v>
      </c>
      <c r="H64" s="5">
        <v>300</v>
      </c>
      <c r="I64" s="10">
        <v>568</v>
      </c>
      <c r="J64" s="10">
        <v>3233</v>
      </c>
      <c r="K64" s="5">
        <v>-544</v>
      </c>
      <c r="L64" s="10">
        <v>2689</v>
      </c>
      <c r="M64" s="10">
        <v>6325</v>
      </c>
      <c r="N64" s="11">
        <v>2000</v>
      </c>
      <c r="O64" s="10">
        <v>8325</v>
      </c>
      <c r="P64" s="10">
        <v>0</v>
      </c>
      <c r="Q64" s="8">
        <v>0</v>
      </c>
      <c r="R64" s="10">
        <v>0</v>
      </c>
      <c r="S64" s="10">
        <v>0</v>
      </c>
      <c r="T64" s="8">
        <v>0</v>
      </c>
      <c r="U64" s="10">
        <v>0</v>
      </c>
      <c r="V64" s="7">
        <v>0</v>
      </c>
      <c r="W64" s="12">
        <v>0</v>
      </c>
      <c r="X64" s="9">
        <v>0</v>
      </c>
      <c r="Y64" s="10">
        <v>7933.5</v>
      </c>
      <c r="Z64" s="12">
        <v>0</v>
      </c>
      <c r="AA64" s="10">
        <v>7933.5</v>
      </c>
      <c r="AB64" s="10">
        <v>50</v>
      </c>
      <c r="AC64" s="14">
        <v>0</v>
      </c>
      <c r="AD64" s="10">
        <v>50</v>
      </c>
    </row>
    <row r="65" spans="1:30" ht="78.75" x14ac:dyDescent="0.25">
      <c r="A65" s="5" t="inlineStr">
        <is>
          <t>63</t>
        </is>
      </c>
      <c r="B65" s="6" t="inlineStr">
        <is>
          <t>Phòng giao dịch NHCSXH Nam Giang</t>
        </is>
      </c>
      <c r="C65" s="6" t="inlineStr">
        <is>
          <t>Xã La Êê</t>
        </is>
      </c>
      <c r="D65" s="7">
        <v>8727.4</v>
      </c>
      <c r="E65" s="5">
        <v>600</v>
      </c>
      <c r="F65" s="9">
        <v>9327.4</v>
      </c>
      <c r="G65" s="10">
        <v>1906</v>
      </c>
      <c r="H65" s="5">
        <v>300</v>
      </c>
      <c r="I65" s="10">
        <v>2206</v>
      </c>
      <c r="J65" s="10">
        <v>1382</v>
      </c>
      <c r="K65" s="5">
        <v>-400</v>
      </c>
      <c r="L65" s="10">
        <v>982</v>
      </c>
      <c r="M65" s="10">
        <v>1375</v>
      </c>
      <c r="N65" s="11">
        <v>1000</v>
      </c>
      <c r="O65" s="10">
        <v>2375</v>
      </c>
      <c r="P65" s="10">
        <v>0</v>
      </c>
      <c r="Q65" s="8">
        <v>0</v>
      </c>
      <c r="R65" s="10">
        <v>0</v>
      </c>
      <c r="S65" s="10">
        <v>0</v>
      </c>
      <c r="T65" s="8">
        <v>0</v>
      </c>
      <c r="U65" s="10">
        <v>0</v>
      </c>
      <c r="V65" s="7">
        <v>0</v>
      </c>
      <c r="W65" s="12">
        <v>0</v>
      </c>
      <c r="X65" s="9">
        <v>0</v>
      </c>
      <c r="Y65" s="10">
        <v>2445</v>
      </c>
      <c r="Z65" s="12">
        <v>0</v>
      </c>
      <c r="AA65" s="10">
        <v>2445</v>
      </c>
      <c r="AB65" s="10">
        <v>0</v>
      </c>
      <c r="AC65" s="14">
        <v>0</v>
      </c>
      <c r="AD65" s="10">
        <v>0</v>
      </c>
    </row>
    <row r="66" spans="1:30" ht="78.75" x14ac:dyDescent="0.25">
      <c r="A66" s="5" t="inlineStr">
        <is>
          <t>64</t>
        </is>
      </c>
      <c r="B66" s="6" t="inlineStr">
        <is>
          <t>Phòng giao dịch NHCSXH Nam Giang</t>
        </is>
      </c>
      <c r="C66" s="6" t="inlineStr">
        <is>
          <t>Xã Nam Giang</t>
        </is>
      </c>
      <c r="D66" s="7">
        <v>15266.8</v>
      </c>
      <c r="E66" s="5">
        <v>700</v>
      </c>
      <c r="F66" s="9">
        <v>15966.8</v>
      </c>
      <c r="G66" s="10">
        <v>1010.27</v>
      </c>
      <c r="H66" s="5">
        <v>300</v>
      </c>
      <c r="I66" s="10">
        <v>1310.27</v>
      </c>
      <c r="J66" s="10">
        <v>1288</v>
      </c>
      <c r="K66" s="5">
        <v>-500</v>
      </c>
      <c r="L66" s="10">
        <v>788</v>
      </c>
      <c r="M66" s="10">
        <v>5550</v>
      </c>
      <c r="N66" s="11">
        <v>2000</v>
      </c>
      <c r="O66" s="10">
        <v>7550</v>
      </c>
      <c r="P66" s="10">
        <v>0</v>
      </c>
      <c r="Q66" s="8">
        <v>0</v>
      </c>
      <c r="R66" s="10">
        <v>0</v>
      </c>
      <c r="S66" s="10">
        <v>40</v>
      </c>
      <c r="T66" s="8">
        <v>0</v>
      </c>
      <c r="U66" s="10">
        <v>40</v>
      </c>
      <c r="V66" s="7">
        <v>0</v>
      </c>
      <c r="W66" s="12">
        <v>0</v>
      </c>
      <c r="X66" s="9">
        <v>0</v>
      </c>
      <c r="Y66" s="10">
        <v>4005</v>
      </c>
      <c r="Z66" s="12">
        <v>0</v>
      </c>
      <c r="AA66" s="10">
        <v>4005</v>
      </c>
      <c r="AB66" s="10">
        <v>244</v>
      </c>
      <c r="AC66" s="14">
        <v>0</v>
      </c>
      <c r="AD66" s="10">
        <v>244</v>
      </c>
    </row>
    <row r="67" spans="1:30" ht="78.75" x14ac:dyDescent="0.25">
      <c r="A67" s="5" t="inlineStr">
        <is>
          <t>65</t>
        </is>
      </c>
      <c r="B67" s="6" t="inlineStr">
        <is>
          <t>Phòng giao dịch NHCSXH Nam Giang</t>
        </is>
      </c>
      <c r="C67" s="6" t="inlineStr">
        <is>
          <t>Xã Thạnh Mỹ</t>
        </is>
      </c>
      <c r="D67" s="7">
        <v>8872</v>
      </c>
      <c r="E67" s="5">
        <v>700</v>
      </c>
      <c r="F67" s="9">
        <v>9572</v>
      </c>
      <c r="G67" s="10">
        <v>2893.17</v>
      </c>
      <c r="H67" s="5">
        <v>400</v>
      </c>
      <c r="I67" s="10">
        <v>3293.17</v>
      </c>
      <c r="J67" s="10">
        <v>2863.7</v>
      </c>
      <c r="K67" s="5">
        <v>-500</v>
      </c>
      <c r="L67" s="10">
        <v>2363.7</v>
      </c>
      <c r="M67" s="10">
        <v>52308.28</v>
      </c>
      <c r="N67" s="11">
        <v>6000</v>
      </c>
      <c r="O67" s="10">
        <v>58308.28</v>
      </c>
      <c r="P67" s="10">
        <v>0</v>
      </c>
      <c r="Q67" s="8">
        <v>0</v>
      </c>
      <c r="R67" s="10">
        <v>0</v>
      </c>
      <c r="S67" s="10">
        <v>1030.5</v>
      </c>
      <c r="T67" s="5">
        <v>135</v>
      </c>
      <c r="U67" s="10">
        <v>1165.5</v>
      </c>
      <c r="V67" s="7">
        <v>0</v>
      </c>
      <c r="W67" s="12">
        <v>0</v>
      </c>
      <c r="X67" s="9">
        <v>0</v>
      </c>
      <c r="Y67" s="10">
        <v>5400.5</v>
      </c>
      <c r="Z67" s="12">
        <v>0</v>
      </c>
      <c r="AA67" s="10">
        <v>5400.5</v>
      </c>
      <c r="AB67" s="10">
        <v>840</v>
      </c>
      <c r="AC67" s="14">
        <v>0</v>
      </c>
      <c r="AD67" s="10">
        <v>840</v>
      </c>
    </row>
    <row r="68" spans="1:30" ht="78.75" x14ac:dyDescent="0.25">
      <c r="A68" s="5" t="inlineStr">
        <is>
          <t>66</t>
        </is>
      </c>
      <c r="B68" s="6" t="inlineStr">
        <is>
          <t>Phòng giao dịch NHCSXH Nam Giang</t>
        </is>
      </c>
      <c r="C68" s="6" t="inlineStr">
        <is>
          <t>Xã Đắc Pring</t>
        </is>
      </c>
      <c r="D68" s="7">
        <v>10002.5</v>
      </c>
      <c r="E68" s="5">
        <v>600</v>
      </c>
      <c r="F68" s="9">
        <f t="shared" ref="F68:F99" si="9">D68+E68</f>
        <v>10602.5</v>
      </c>
      <c r="G68" s="10">
        <v>1625</v>
      </c>
      <c r="H68" s="5">
        <v>300</v>
      </c>
      <c r="I68" s="10">
        <f t="shared" ref="I68:I99" si="10">G68+H68</f>
        <v>1925</v>
      </c>
      <c r="J68" s="10">
        <v>1146</v>
      </c>
      <c r="K68" s="5">
        <v>-500</v>
      </c>
      <c r="L68" s="10">
        <f t="shared" ref="L68:L99" si="11">J68+K68</f>
        <v>646</v>
      </c>
      <c r="M68" s="10">
        <v>2610</v>
      </c>
      <c r="N68" s="11">
        <v>1000</v>
      </c>
      <c r="O68" s="10">
        <f t="shared" ref="O68:O99" si="12">M68+N68</f>
        <v>3610</v>
      </c>
      <c r="P68" s="10">
        <v>0</v>
      </c>
      <c r="Q68" s="8">
        <v>0</v>
      </c>
      <c r="R68" s="10">
        <f t="shared" ref="R68:R99" si="13">P68+Q68</f>
        <v>0</v>
      </c>
      <c r="S68" s="10">
        <v>40</v>
      </c>
      <c r="T68" s="8">
        <v>0</v>
      </c>
      <c r="U68" s="10">
        <f t="shared" ref="U68:U99" si="14">S68+T68</f>
        <v>40</v>
      </c>
      <c r="V68" s="7">
        <v>0</v>
      </c>
      <c r="W68" s="12">
        <v>0</v>
      </c>
      <c r="X68" s="9">
        <f t="shared" ref="X68:X99" si="15">V68+W68</f>
        <v>0</v>
      </c>
      <c r="Y68" s="10">
        <v>4160</v>
      </c>
      <c r="Z68" s="12">
        <v>0</v>
      </c>
      <c r="AA68" s="10">
        <f t="shared" ref="AA68:AA99" si="16">Y68+Z68</f>
        <v>4160</v>
      </c>
      <c r="AB68" s="10">
        <v>365</v>
      </c>
      <c r="AC68" s="14">
        <v>0</v>
      </c>
      <c r="AD68" s="10">
        <f t="shared" ref="AD68:AD99" si="17">AB68+AC68</f>
        <v>365</v>
      </c>
    </row>
    <row r="69" spans="1:30" ht="78.75" x14ac:dyDescent="0.25">
      <c r="A69" s="5" t="inlineStr">
        <is>
          <t>67</t>
        </is>
      </c>
      <c r="B69" s="6" t="inlineStr">
        <is>
          <t>Phòng giao dịch NHCSXH Phước Sơn</t>
        </is>
      </c>
      <c r="C69" s="6" t="inlineStr">
        <is>
          <t>Xã Khâm Đức</t>
        </is>
      </c>
      <c r="D69" s="7">
        <v>15565</v>
      </c>
      <c r="E69" s="5">
        <v>300</v>
      </c>
      <c r="F69" s="9">
        <v>15865</v>
      </c>
      <c r="G69" s="10">
        <v>6730</v>
      </c>
      <c r="H69" s="5">
        <v>200</v>
      </c>
      <c r="I69" s="10">
        <v>6930</v>
      </c>
      <c r="J69" s="10">
        <v>5223.5</v>
      </c>
      <c r="K69" s="5">
        <v>100</v>
      </c>
      <c r="L69" s="10">
        <v>5323.5</v>
      </c>
      <c r="M69" s="10">
        <v>10450</v>
      </c>
      <c r="N69" s="11">
        <v>2000</v>
      </c>
      <c r="O69" s="10">
        <v>12450</v>
      </c>
      <c r="P69" s="10">
        <v>7176</v>
      </c>
      <c r="Q69" s="8">
        <v>0</v>
      </c>
      <c r="R69" s="10">
        <v>7176</v>
      </c>
      <c r="S69" s="10">
        <v>214.8</v>
      </c>
      <c r="T69" s="5">
        <v>120</v>
      </c>
      <c r="U69" s="10">
        <v>334.8</v>
      </c>
      <c r="V69" s="7">
        <v>392</v>
      </c>
      <c r="W69" s="12">
        <v>0</v>
      </c>
      <c r="X69" s="9">
        <v>392</v>
      </c>
      <c r="Y69" s="10">
        <v>18789</v>
      </c>
      <c r="Z69" s="13">
        <v>-1500</v>
      </c>
      <c r="AA69" s="10">
        <v>17289</v>
      </c>
      <c r="AB69" s="10">
        <v>1899</v>
      </c>
      <c r="AC69" s="14">
        <v>0</v>
      </c>
      <c r="AD69" s="10">
        <v>1899</v>
      </c>
    </row>
    <row r="70" spans="1:30" ht="78.75" x14ac:dyDescent="0.25">
      <c r="A70" s="5" t="inlineStr">
        <is>
          <t>68</t>
        </is>
      </c>
      <c r="B70" s="6" t="inlineStr">
        <is>
          <t>Phòng giao dịch NHCSXH Phước Sơn</t>
        </is>
      </c>
      <c r="C70" s="6" t="inlineStr">
        <is>
          <t>Xã Phước Chánh</t>
        </is>
      </c>
      <c r="D70" s="7">
        <v>11955.21</v>
      </c>
      <c r="E70" s="5">
        <v>300</v>
      </c>
      <c r="F70" s="9">
        <v>12255.21</v>
      </c>
      <c r="G70" s="10">
        <v>14207.51</v>
      </c>
      <c r="H70" s="5">
        <v>200</v>
      </c>
      <c r="I70" s="10">
        <v>14407.51</v>
      </c>
      <c r="J70" s="10">
        <v>6213</v>
      </c>
      <c r="K70" s="5">
        <v>100</v>
      </c>
      <c r="L70" s="10">
        <v>6313</v>
      </c>
      <c r="M70" s="10">
        <v>8180</v>
      </c>
      <c r="N70" s="5">
        <v>500</v>
      </c>
      <c r="O70" s="10">
        <v>8680</v>
      </c>
      <c r="P70" s="10">
        <v>350</v>
      </c>
      <c r="Q70" s="8">
        <v>0</v>
      </c>
      <c r="R70" s="10">
        <v>350</v>
      </c>
      <c r="S70" s="10">
        <v>27</v>
      </c>
      <c r="T70" s="8">
        <v>0</v>
      </c>
      <c r="U70" s="10">
        <v>27</v>
      </c>
      <c r="V70" s="7">
        <v>0</v>
      </c>
      <c r="W70" s="12">
        <v>0</v>
      </c>
      <c r="X70" s="9">
        <v>0</v>
      </c>
      <c r="Y70" s="10">
        <v>9148</v>
      </c>
      <c r="Z70" s="13">
        <v>-1500</v>
      </c>
      <c r="AA70" s="10">
        <v>7648</v>
      </c>
      <c r="AB70" s="10">
        <v>130</v>
      </c>
      <c r="AC70" s="14">
        <v>0</v>
      </c>
      <c r="AD70" s="10">
        <v>130</v>
      </c>
    </row>
    <row r="71" spans="1:30" ht="78.75" x14ac:dyDescent="0.25">
      <c r="A71" s="5" t="inlineStr">
        <is>
          <t>69</t>
        </is>
      </c>
      <c r="B71" s="6" t="inlineStr">
        <is>
          <t>Phòng giao dịch NHCSXH Phước Sơn</t>
        </is>
      </c>
      <c r="C71" s="6" t="inlineStr">
        <is>
          <t>Xã Phước Hiệp</t>
        </is>
      </c>
      <c r="D71" s="7">
        <v>14219</v>
      </c>
      <c r="E71" s="5">
        <v>300</v>
      </c>
      <c r="F71" s="9">
        <v>14519</v>
      </c>
      <c r="G71" s="10">
        <v>3830</v>
      </c>
      <c r="H71" s="5">
        <v>200</v>
      </c>
      <c r="I71" s="10">
        <v>4030</v>
      </c>
      <c r="J71" s="10">
        <v>3869</v>
      </c>
      <c r="K71" s="5">
        <v>100</v>
      </c>
      <c r="L71" s="10">
        <v>3969</v>
      </c>
      <c r="M71" s="10">
        <v>14735</v>
      </c>
      <c r="N71" s="11">
        <v>1000</v>
      </c>
      <c r="O71" s="10">
        <v>15735</v>
      </c>
      <c r="P71" s="10">
        <v>400</v>
      </c>
      <c r="Q71" s="8">
        <v>0</v>
      </c>
      <c r="R71" s="10">
        <v>400</v>
      </c>
      <c r="S71" s="10">
        <v>0</v>
      </c>
      <c r="T71" s="8">
        <v>0</v>
      </c>
      <c r="U71" s="10">
        <v>0</v>
      </c>
      <c r="V71" s="7">
        <v>0</v>
      </c>
      <c r="W71" s="12">
        <v>0</v>
      </c>
      <c r="X71" s="9">
        <v>0</v>
      </c>
      <c r="Y71" s="10">
        <v>10932</v>
      </c>
      <c r="Z71" s="13">
        <v>-1500</v>
      </c>
      <c r="AA71" s="10">
        <v>9432</v>
      </c>
      <c r="AB71" s="10">
        <v>505</v>
      </c>
      <c r="AC71" s="14">
        <v>0</v>
      </c>
      <c r="AD71" s="10">
        <v>505</v>
      </c>
    </row>
    <row r="72" spans="1:30" ht="78.75" x14ac:dyDescent="0.25">
      <c r="A72" s="5" t="inlineStr">
        <is>
          <t>70</t>
        </is>
      </c>
      <c r="B72" s="6" t="inlineStr">
        <is>
          <t>Phòng giao dịch NHCSXH Phước Sơn</t>
        </is>
      </c>
      <c r="C72" s="6" t="inlineStr">
        <is>
          <t>Xã Phước Năng</t>
        </is>
      </c>
      <c r="D72" s="7">
        <v>22303.9</v>
      </c>
      <c r="E72" s="5">
        <v>300</v>
      </c>
      <c r="F72" s="9">
        <v>22603.9</v>
      </c>
      <c r="G72" s="10">
        <v>10228</v>
      </c>
      <c r="H72" s="5">
        <v>200</v>
      </c>
      <c r="I72" s="10">
        <v>10428</v>
      </c>
      <c r="J72" s="10">
        <v>10994.2</v>
      </c>
      <c r="K72" s="5">
        <v>100</v>
      </c>
      <c r="L72" s="10">
        <v>11094.2</v>
      </c>
      <c r="M72" s="10">
        <v>17286.5</v>
      </c>
      <c r="N72" s="11">
        <v>1500</v>
      </c>
      <c r="O72" s="10">
        <v>18786.5</v>
      </c>
      <c r="P72" s="10">
        <v>1875</v>
      </c>
      <c r="Q72" s="8">
        <v>0</v>
      </c>
      <c r="R72" s="10">
        <v>1875</v>
      </c>
      <c r="S72" s="10">
        <v>72</v>
      </c>
      <c r="T72" s="8">
        <v>0</v>
      </c>
      <c r="U72" s="10">
        <v>72</v>
      </c>
      <c r="V72" s="7">
        <v>0</v>
      </c>
      <c r="W72" s="12">
        <v>0</v>
      </c>
      <c r="X72" s="9">
        <v>0</v>
      </c>
      <c r="Y72" s="10">
        <v>17168</v>
      </c>
      <c r="Z72" s="13">
        <v>-1500</v>
      </c>
      <c r="AA72" s="10">
        <v>15668</v>
      </c>
      <c r="AB72" s="10">
        <v>17</v>
      </c>
      <c r="AC72" s="14">
        <v>0</v>
      </c>
      <c r="AD72" s="10">
        <v>17</v>
      </c>
    </row>
    <row r="73" spans="1:30" ht="78.75" x14ac:dyDescent="0.25">
      <c r="A73" s="5" t="inlineStr">
        <is>
          <t>71</t>
        </is>
      </c>
      <c r="B73" s="6" t="inlineStr">
        <is>
          <t>Phòng giao dịch NHCSXH Phước Sơn</t>
        </is>
      </c>
      <c r="C73" s="6" t="inlineStr">
        <is>
          <t>Xã Phước Thành</t>
        </is>
      </c>
      <c r="D73" s="7">
        <v>17112.9</v>
      </c>
      <c r="E73" s="5">
        <v>300</v>
      </c>
      <c r="F73" s="9">
        <v>17412.9</v>
      </c>
      <c r="G73" s="10">
        <v>1371.5</v>
      </c>
      <c r="H73" s="5">
        <v>200</v>
      </c>
      <c r="I73" s="10">
        <v>1571.5</v>
      </c>
      <c r="J73" s="10">
        <v>769.3</v>
      </c>
      <c r="K73" s="5">
        <v>100</v>
      </c>
      <c r="L73" s="10">
        <v>869.3</v>
      </c>
      <c r="M73" s="10">
        <v>4316.5</v>
      </c>
      <c r="N73" s="5">
        <v>500</v>
      </c>
      <c r="O73" s="10">
        <v>4816.5</v>
      </c>
      <c r="P73" s="10">
        <v>0</v>
      </c>
      <c r="Q73" s="8">
        <v>0</v>
      </c>
      <c r="R73" s="10">
        <v>0</v>
      </c>
      <c r="S73" s="10">
        <v>0</v>
      </c>
      <c r="T73" s="8">
        <v>0</v>
      </c>
      <c r="U73" s="10">
        <v>0</v>
      </c>
      <c r="V73" s="7">
        <v>0</v>
      </c>
      <c r="W73" s="12">
        <v>0</v>
      </c>
      <c r="X73" s="9">
        <v>0</v>
      </c>
      <c r="Y73" s="10">
        <v>8017</v>
      </c>
      <c r="Z73" s="13">
        <v>-1000</v>
      </c>
      <c r="AA73" s="10">
        <v>7017</v>
      </c>
      <c r="AB73" s="10">
        <v>471</v>
      </c>
      <c r="AC73" s="14">
        <v>0</v>
      </c>
      <c r="AD73" s="10">
        <v>471</v>
      </c>
    </row>
    <row r="74" spans="1:30" ht="78.75" x14ac:dyDescent="0.25">
      <c r="A74" s="5" t="inlineStr">
        <is>
          <t>72</t>
        </is>
      </c>
      <c r="B74" s="6" t="inlineStr">
        <is>
          <t>Phòng giao dịch NHCSXH Hiệp Đức</t>
        </is>
      </c>
      <c r="C74" s="6" t="inlineStr">
        <is>
          <t>Xã Hiệp Đức</t>
        </is>
      </c>
      <c r="D74" s="7">
        <v>3133.45</v>
      </c>
      <c r="E74" s="11">
        <v>-1000</v>
      </c>
      <c r="F74" s="9">
        <v>2133.45</v>
      </c>
      <c r="G74" s="10">
        <v>33538.5</v>
      </c>
      <c r="H74" s="11">
        <v>-1500</v>
      </c>
      <c r="I74" s="10">
        <v>32038.5</v>
      </c>
      <c r="J74" s="10">
        <v>5028.2</v>
      </c>
      <c r="K74" s="11">
        <v>-2000</v>
      </c>
      <c r="L74" s="10">
        <v>3028.2</v>
      </c>
      <c r="M74" s="10">
        <v>2677.5</v>
      </c>
      <c r="N74" s="11">
        <v>-1500</v>
      </c>
      <c r="O74" s="10">
        <v>1177.5</v>
      </c>
      <c r="P74" s="10">
        <v>22353.95</v>
      </c>
      <c r="Q74" s="11">
        <v>1000</v>
      </c>
      <c r="R74" s="10">
        <v>23353.95</v>
      </c>
      <c r="S74" s="10">
        <v>4426.7</v>
      </c>
      <c r="T74" s="5">
        <v>604</v>
      </c>
      <c r="U74" s="10">
        <v>5030.7</v>
      </c>
      <c r="V74" s="7">
        <v>180</v>
      </c>
      <c r="W74" s="12">
        <v>0</v>
      </c>
      <c r="X74" s="9">
        <v>180</v>
      </c>
      <c r="Y74" s="10">
        <v>37609.3</v>
      </c>
      <c r="Z74" s="13">
        <v>3500</v>
      </c>
      <c r="AA74" s="10">
        <v>41109.3</v>
      </c>
      <c r="AB74" s="10">
        <v>1036.2</v>
      </c>
      <c r="AC74" s="14">
        <v>0</v>
      </c>
      <c r="AD74" s="10">
        <v>1036.2</v>
      </c>
    </row>
    <row r="75" spans="1:30" ht="78.75" x14ac:dyDescent="0.25">
      <c r="A75" s="5" t="inlineStr">
        <is>
          <t>73</t>
        </is>
      </c>
      <c r="B75" s="6" t="inlineStr">
        <is>
          <t>Phòng giao dịch NHCSXH Hiệp Đức</t>
        </is>
      </c>
      <c r="C75" s="6" t="inlineStr">
        <is>
          <t>Xã Phước Trà</t>
        </is>
      </c>
      <c r="D75" s="7">
        <v>11033</v>
      </c>
      <c r="E75" s="8">
        <v>0</v>
      </c>
      <c r="F75" s="9">
        <v>11033</v>
      </c>
      <c r="G75" s="10">
        <v>5300.2</v>
      </c>
      <c r="H75" s="8">
        <v>0</v>
      </c>
      <c r="I75" s="10">
        <v>5300.2</v>
      </c>
      <c r="J75" s="10">
        <v>4828.45</v>
      </c>
      <c r="K75" s="11">
        <v>-1000</v>
      </c>
      <c r="L75" s="10">
        <v>3828.45</v>
      </c>
      <c r="M75" s="10">
        <v>47174.5</v>
      </c>
      <c r="N75" s="5">
        <v>-800</v>
      </c>
      <c r="O75" s="10">
        <v>46374.5</v>
      </c>
      <c r="P75" s="10">
        <v>12685.2</v>
      </c>
      <c r="Q75" s="5">
        <v>800</v>
      </c>
      <c r="R75" s="10">
        <v>13485.2</v>
      </c>
      <c r="S75" s="10">
        <v>587.6</v>
      </c>
      <c r="T75" s="5">
        <v>400</v>
      </c>
      <c r="U75" s="10">
        <v>987.6</v>
      </c>
      <c r="V75" s="7">
        <v>100</v>
      </c>
      <c r="W75" s="12">
        <v>0</v>
      </c>
      <c r="X75" s="9">
        <v>100</v>
      </c>
      <c r="Y75" s="10">
        <v>11540</v>
      </c>
      <c r="Z75" s="13">
        <v>2000</v>
      </c>
      <c r="AA75" s="10">
        <v>13540</v>
      </c>
      <c r="AB75" s="10">
        <v>30</v>
      </c>
      <c r="AC75" s="14">
        <v>0</v>
      </c>
      <c r="AD75" s="10">
        <v>30</v>
      </c>
    </row>
    <row r="76" spans="1:30" ht="78.75" x14ac:dyDescent="0.25">
      <c r="A76" s="5" t="inlineStr">
        <is>
          <t>74</t>
        </is>
      </c>
      <c r="B76" s="6" t="inlineStr">
        <is>
          <t>Phòng giao dịch NHCSXH Hiệp Đức</t>
        </is>
      </c>
      <c r="C76" s="6" t="inlineStr">
        <is>
          <t>Xã Việt An</t>
        </is>
      </c>
      <c r="D76" s="7">
        <v>3036.6</v>
      </c>
      <c r="E76" s="11">
        <v>-1000</v>
      </c>
      <c r="F76" s="9">
        <v>2036.6</v>
      </c>
      <c r="G76" s="10">
        <v>54109.23</v>
      </c>
      <c r="H76" s="11">
        <v>-2500</v>
      </c>
      <c r="I76" s="10">
        <v>51609.23</v>
      </c>
      <c r="J76" s="10">
        <v>5159.6</v>
      </c>
      <c r="K76" s="11">
        <v>-2000</v>
      </c>
      <c r="L76" s="10">
        <v>3159.6</v>
      </c>
      <c r="M76" s="10">
        <v>1043.6</v>
      </c>
      <c r="N76" s="5">
        <v>-700</v>
      </c>
      <c r="O76" s="10">
        <v>343.6</v>
      </c>
      <c r="P76" s="10">
        <v>38647.2</v>
      </c>
      <c r="Q76" s="11">
        <v>1200</v>
      </c>
      <c r="R76" s="10">
        <v>39847.2</v>
      </c>
      <c r="S76" s="10">
        <v>9428.4</v>
      </c>
      <c r="T76" s="11">
        <v>1000</v>
      </c>
      <c r="U76" s="10">
        <v>10428.4</v>
      </c>
      <c r="V76" s="7">
        <v>0</v>
      </c>
      <c r="W76" s="12">
        <v>0</v>
      </c>
      <c r="X76" s="9">
        <v>0</v>
      </c>
      <c r="Y76" s="10">
        <v>40859</v>
      </c>
      <c r="Z76" s="13">
        <v>4500</v>
      </c>
      <c r="AA76" s="10">
        <v>45359</v>
      </c>
      <c r="AB76" s="10">
        <v>2669.4</v>
      </c>
      <c r="AC76" s="14">
        <v>0</v>
      </c>
      <c r="AD76" s="10">
        <v>2669.4</v>
      </c>
    </row>
    <row r="77" spans="1:30" ht="78.75" x14ac:dyDescent="0.25">
      <c r="A77" s="5" t="inlineStr">
        <is>
          <t>75</t>
        </is>
      </c>
      <c r="B77" s="6" t="inlineStr">
        <is>
          <t>Phòng giao dịch NHCSXH Đông Giang</t>
        </is>
      </c>
      <c r="C77" s="6" t="inlineStr">
        <is>
          <t>Xã Bến Hiên</t>
        </is>
      </c>
      <c r="D77" s="7">
        <v>19525.74</v>
      </c>
      <c r="E77" s="11">
        <v>1843</v>
      </c>
      <c r="F77" s="9">
        <v>21368.74</v>
      </c>
      <c r="G77" s="10">
        <v>2420.5</v>
      </c>
      <c r="H77" s="11">
        <v>1000</v>
      </c>
      <c r="I77" s="10">
        <v>3420.5</v>
      </c>
      <c r="J77" s="10">
        <v>2157</v>
      </c>
      <c r="K77" s="5">
        <v>100</v>
      </c>
      <c r="L77" s="10">
        <v>2257</v>
      </c>
      <c r="M77" s="10">
        <v>9604.5</v>
      </c>
      <c r="N77" s="5">
        <v>500</v>
      </c>
      <c r="O77" s="10">
        <v>10104.5</v>
      </c>
      <c r="P77" s="10">
        <v>921</v>
      </c>
      <c r="Q77" s="5">
        <v>300</v>
      </c>
      <c r="R77" s="10">
        <v>1221</v>
      </c>
      <c r="S77" s="10">
        <v>0</v>
      </c>
      <c r="T77" s="8">
        <v>0</v>
      </c>
      <c r="U77" s="10">
        <v>0</v>
      </c>
      <c r="V77" s="7">
        <v>65</v>
      </c>
      <c r="W77" s="12">
        <v>0</v>
      </c>
      <c r="X77" s="9">
        <v>65</v>
      </c>
      <c r="Y77" s="10">
        <v>4980</v>
      </c>
      <c r="Z77" s="13">
        <v>-1000</v>
      </c>
      <c r="AA77" s="10">
        <v>3980</v>
      </c>
      <c r="AB77" s="10">
        <v>175</v>
      </c>
      <c r="AC77" s="14">
        <v>0</v>
      </c>
      <c r="AD77" s="10">
        <v>175</v>
      </c>
    </row>
    <row r="78" spans="1:30" ht="78.75" x14ac:dyDescent="0.25">
      <c r="A78" s="5" t="inlineStr">
        <is>
          <t>76</t>
        </is>
      </c>
      <c r="B78" s="6" t="inlineStr">
        <is>
          <t>Phòng giao dịch NHCSXH Đông Giang</t>
        </is>
      </c>
      <c r="C78" s="6" t="inlineStr">
        <is>
          <t>Xã Sông Kôn</t>
        </is>
      </c>
      <c r="D78" s="7">
        <v>59165.3</v>
      </c>
      <c r="E78" s="11">
        <v>2500</v>
      </c>
      <c r="F78" s="9">
        <v>61665.3</v>
      </c>
      <c r="G78" s="10">
        <v>7405.5</v>
      </c>
      <c r="H78" s="11">
        <v>1500</v>
      </c>
      <c r="I78" s="10">
        <v>8905.5</v>
      </c>
      <c r="J78" s="10">
        <v>4199</v>
      </c>
      <c r="K78" s="5">
        <v>400</v>
      </c>
      <c r="L78" s="10">
        <v>4599</v>
      </c>
      <c r="M78" s="10">
        <v>21176.5</v>
      </c>
      <c r="N78" s="11">
        <v>2000</v>
      </c>
      <c r="O78" s="10">
        <v>23176.5</v>
      </c>
      <c r="P78" s="10">
        <v>3408.2</v>
      </c>
      <c r="Q78" s="5">
        <v>500</v>
      </c>
      <c r="R78" s="10">
        <v>3908.2</v>
      </c>
      <c r="S78" s="10">
        <v>196</v>
      </c>
      <c r="T78" s="8">
        <v>0</v>
      </c>
      <c r="U78" s="10">
        <v>196</v>
      </c>
      <c r="V78" s="7">
        <v>200</v>
      </c>
      <c r="W78" s="12">
        <v>0</v>
      </c>
      <c r="X78" s="9">
        <v>200</v>
      </c>
      <c r="Y78" s="10">
        <v>14742.5</v>
      </c>
      <c r="Z78" s="13">
        <v>-3000</v>
      </c>
      <c r="AA78" s="10">
        <v>11742.5</v>
      </c>
      <c r="AB78" s="10">
        <v>386</v>
      </c>
      <c r="AC78" s="14">
        <v>0</v>
      </c>
      <c r="AD78" s="10">
        <v>386</v>
      </c>
    </row>
    <row r="79" spans="1:30" ht="78.75" x14ac:dyDescent="0.25">
      <c r="A79" s="5" t="inlineStr">
        <is>
          <t>77</t>
        </is>
      </c>
      <c r="B79" s="6" t="inlineStr">
        <is>
          <t>Phòng giao dịch NHCSXH Đông Giang</t>
        </is>
      </c>
      <c r="C79" s="6" t="inlineStr">
        <is>
          <t>Xã Sông Vàng</t>
        </is>
      </c>
      <c r="D79" s="7">
        <v>19731.5</v>
      </c>
      <c r="E79" s="5">
        <v>500</v>
      </c>
      <c r="F79" s="9">
        <v>20231.5</v>
      </c>
      <c r="G79" s="10">
        <v>11178</v>
      </c>
      <c r="H79" s="5">
        <v>600</v>
      </c>
      <c r="I79" s="10">
        <v>11778</v>
      </c>
      <c r="J79" s="10">
        <v>2293</v>
      </c>
      <c r="K79" s="5">
        <v>100</v>
      </c>
      <c r="L79" s="10">
        <v>2393</v>
      </c>
      <c r="M79" s="10">
        <v>4416.5</v>
      </c>
      <c r="N79" s="5">
        <v>500</v>
      </c>
      <c r="O79" s="10">
        <v>4916.5</v>
      </c>
      <c r="P79" s="10">
        <v>9459.7</v>
      </c>
      <c r="Q79" s="11">
        <v>1051</v>
      </c>
      <c r="R79" s="10">
        <v>10510.7</v>
      </c>
      <c r="S79" s="10">
        <v>333</v>
      </c>
      <c r="T79" s="5">
        <v>153</v>
      </c>
      <c r="U79" s="10">
        <v>486</v>
      </c>
      <c r="V79" s="7">
        <v>300</v>
      </c>
      <c r="W79" s="12">
        <v>0</v>
      </c>
      <c r="X79" s="9">
        <v>300</v>
      </c>
      <c r="Y79" s="10">
        <v>23664.3</v>
      </c>
      <c r="Z79" s="13">
        <v>-2000</v>
      </c>
      <c r="AA79" s="10">
        <v>21664.3</v>
      </c>
      <c r="AB79" s="10">
        <v>896</v>
      </c>
      <c r="AC79" s="14">
        <v>0</v>
      </c>
      <c r="AD79" s="10">
        <v>896</v>
      </c>
    </row>
    <row r="80" spans="1:30" ht="78.75" x14ac:dyDescent="0.25">
      <c r="A80" s="5" t="inlineStr">
        <is>
          <t>78</t>
        </is>
      </c>
      <c r="B80" s="6" t="inlineStr">
        <is>
          <t>Phòng giao dịch NHCSXH Đông Giang</t>
        </is>
      </c>
      <c r="C80" s="6" t="inlineStr">
        <is>
          <t>Xã Đông Giang</t>
        </is>
      </c>
      <c r="D80" s="7">
        <v>41461.53</v>
      </c>
      <c r="E80" s="11">
        <v>3000</v>
      </c>
      <c r="F80" s="9">
        <v>44461.53</v>
      </c>
      <c r="G80" s="10">
        <v>3251.6</v>
      </c>
      <c r="H80" s="11">
        <v>1000</v>
      </c>
      <c r="I80" s="10">
        <v>4251.6</v>
      </c>
      <c r="J80" s="10">
        <v>2992.67</v>
      </c>
      <c r="K80" s="5">
        <v>400</v>
      </c>
      <c r="L80" s="10">
        <v>3392.67</v>
      </c>
      <c r="M80" s="10">
        <v>28570.2</v>
      </c>
      <c r="N80" s="11">
        <v>2000</v>
      </c>
      <c r="O80" s="10">
        <v>30570.2</v>
      </c>
      <c r="P80" s="10">
        <v>3919</v>
      </c>
      <c r="Q80" s="5">
        <v>700</v>
      </c>
      <c r="R80" s="10">
        <v>4619</v>
      </c>
      <c r="S80" s="10">
        <v>273.5</v>
      </c>
      <c r="T80" s="5">
        <v>200</v>
      </c>
      <c r="U80" s="10">
        <v>473.5</v>
      </c>
      <c r="V80" s="7">
        <v>198</v>
      </c>
      <c r="W80" s="15">
        <v>100</v>
      </c>
      <c r="X80" s="9">
        <v>298</v>
      </c>
      <c r="Y80" s="10">
        <v>11632</v>
      </c>
      <c r="Z80" s="13">
        <v>-2000</v>
      </c>
      <c r="AA80" s="10">
        <v>9632</v>
      </c>
      <c r="AB80" s="10">
        <v>894</v>
      </c>
      <c r="AC80" s="14">
        <v>0</v>
      </c>
      <c r="AD80" s="10">
        <v>894</v>
      </c>
    </row>
    <row r="81" spans="1:30" ht="47.25" x14ac:dyDescent="0.25">
      <c r="A81" s="5" t="inlineStr">
        <is>
          <t>79</t>
        </is>
      </c>
      <c r="B81" s="6" t="inlineStr">
        <is>
          <t>Hội sở Chi nhánh</t>
        </is>
      </c>
      <c r="C81" s="6" t="inlineStr">
        <is>
          <t>Phường Hòa Cường</t>
        </is>
      </c>
      <c r="D81" s="7">
        <v>370.5</v>
      </c>
      <c r="E81" s="5">
        <v>-20</v>
      </c>
      <c r="F81" s="9">
        <v>350.5</v>
      </c>
      <c r="G81" s="10">
        <v>112.17</v>
      </c>
      <c r="H81" s="8">
        <v>0</v>
      </c>
      <c r="I81" s="10">
        <v>112.17</v>
      </c>
      <c r="J81" s="10">
        <v>213.2</v>
      </c>
      <c r="K81" s="5">
        <v>-150</v>
      </c>
      <c r="L81" s="10">
        <v>63.2</v>
      </c>
      <c r="M81" s="10">
        <v>0</v>
      </c>
      <c r="N81" s="8">
        <v>0</v>
      </c>
      <c r="O81" s="10">
        <v>0</v>
      </c>
      <c r="P81" s="10">
        <v>0</v>
      </c>
      <c r="Q81" s="8">
        <v>0</v>
      </c>
      <c r="R81" s="10">
        <v>0</v>
      </c>
      <c r="S81" s="10">
        <v>3569.77</v>
      </c>
      <c r="T81" s="5">
        <v>100</v>
      </c>
      <c r="U81" s="10">
        <v>3669.77</v>
      </c>
      <c r="V81" s="7">
        <v>0</v>
      </c>
      <c r="W81" s="12">
        <v>0</v>
      </c>
      <c r="X81" s="9">
        <v>0</v>
      </c>
      <c r="Y81" s="10">
        <v>148590.24</v>
      </c>
      <c r="Z81" s="12">
        <v>0</v>
      </c>
      <c r="AA81" s="10">
        <v>148590.24</v>
      </c>
      <c r="AB81" s="10">
        <v>4551.5</v>
      </c>
      <c r="AC81" s="14">
        <v>0</v>
      </c>
      <c r="AD81" s="10">
        <v>4551.5</v>
      </c>
    </row>
    <row r="82" spans="1:30" ht="47.25" x14ac:dyDescent="0.25">
      <c r="A82" s="5" t="inlineStr">
        <is>
          <t>80</t>
        </is>
      </c>
      <c r="B82" s="6" t="inlineStr">
        <is>
          <t>Hội sở Chi nhánh</t>
        </is>
      </c>
      <c r="C82" s="6" t="inlineStr">
        <is>
          <t>Phường Hải Châu</t>
        </is>
      </c>
      <c r="D82" s="7">
        <v>744.5</v>
      </c>
      <c r="E82" s="5">
        <v>-24</v>
      </c>
      <c r="F82" s="9">
        <v>720.5</v>
      </c>
      <c r="G82" s="10">
        <v>22</v>
      </c>
      <c r="H82" s="8">
        <v>0</v>
      </c>
      <c r="I82" s="10">
        <v>22</v>
      </c>
      <c r="J82" s="10">
        <v>235.8</v>
      </c>
      <c r="K82" s="5">
        <v>-150</v>
      </c>
      <c r="L82" s="10">
        <v>85.8</v>
      </c>
      <c r="M82" s="10">
        <v>0</v>
      </c>
      <c r="N82" s="8">
        <v>0</v>
      </c>
      <c r="O82" s="10">
        <v>0</v>
      </c>
      <c r="P82" s="10">
        <v>0</v>
      </c>
      <c r="Q82" s="8">
        <v>0</v>
      </c>
      <c r="R82" s="10">
        <v>0</v>
      </c>
      <c r="S82" s="10">
        <v>3976.89</v>
      </c>
      <c r="T82" s="5">
        <v>575</v>
      </c>
      <c r="U82" s="10">
        <v>4551.89</v>
      </c>
      <c r="V82" s="7">
        <v>73</v>
      </c>
      <c r="W82" s="15">
        <v>530</v>
      </c>
      <c r="X82" s="9">
        <v>603</v>
      </c>
      <c r="Y82" s="10">
        <v>177309</v>
      </c>
      <c r="Z82" s="12">
        <v>0</v>
      </c>
      <c r="AA82" s="10">
        <v>177309</v>
      </c>
      <c r="AB82" s="10">
        <v>1407</v>
      </c>
      <c r="AC82" s="14">
        <v>0</v>
      </c>
      <c r="AD82" s="10">
        <v>1407</v>
      </c>
    </row>
    <row r="83" spans="1:30" ht="78.75" x14ac:dyDescent="0.25">
      <c r="A83" s="5" t="inlineStr">
        <is>
          <t>81</t>
        </is>
      </c>
      <c r="B83" s="6" t="inlineStr">
        <is>
          <t>Phòng giao dịch NHCSXH Thanh Khê</t>
        </is>
      </c>
      <c r="C83" s="6" t="inlineStr">
        <is>
          <t>Phường Thanh Khê</t>
        </is>
      </c>
      <c r="D83" s="7">
        <v>1895.83</v>
      </c>
      <c r="E83" s="8">
        <v>0</v>
      </c>
      <c r="F83" s="9">
        <v>1895.83</v>
      </c>
      <c r="G83" s="10">
        <v>633.4</v>
      </c>
      <c r="H83" s="8">
        <v>0</v>
      </c>
      <c r="I83" s="10">
        <v>633.4</v>
      </c>
      <c r="J83" s="10">
        <v>393.95</v>
      </c>
      <c r="K83" s="8">
        <v>0</v>
      </c>
      <c r="L83" s="10">
        <v>393.95</v>
      </c>
      <c r="M83" s="10">
        <v>0</v>
      </c>
      <c r="N83" s="8">
        <v>0</v>
      </c>
      <c r="O83" s="10">
        <v>0</v>
      </c>
      <c r="P83" s="10">
        <v>0</v>
      </c>
      <c r="Q83" s="8">
        <v>0</v>
      </c>
      <c r="R83" s="10">
        <v>0</v>
      </c>
      <c r="S83" s="10">
        <v>29989.45</v>
      </c>
      <c r="T83" s="5">
        <v>500</v>
      </c>
      <c r="U83" s="10">
        <v>30489.45</v>
      </c>
      <c r="V83" s="7">
        <v>814</v>
      </c>
      <c r="W83" s="12">
        <v>0</v>
      </c>
      <c r="X83" s="9">
        <v>814</v>
      </c>
      <c r="Y83" s="10">
        <v>318777.1</v>
      </c>
      <c r="Z83" s="13">
        <v>-5000</v>
      </c>
      <c r="AA83" s="10">
        <v>313777.1</v>
      </c>
      <c r="AB83" s="10">
        <v>7826.56</v>
      </c>
      <c r="AC83" s="14">
        <v>0</v>
      </c>
      <c r="AD83" s="10">
        <v>7826.56</v>
      </c>
    </row>
    <row r="84" spans="1:30" ht="78.75" x14ac:dyDescent="0.25">
      <c r="A84" s="5" t="inlineStr">
        <is>
          <t>82</t>
        </is>
      </c>
      <c r="B84" s="6" t="inlineStr">
        <is>
          <t>Phòng giao dịch NHCSXH Liên Chiểu</t>
        </is>
      </c>
      <c r="C84" s="6" t="inlineStr">
        <is>
          <t>Phường Hòa Khánh</t>
        </is>
      </c>
      <c r="D84" s="7">
        <v>2301.24</v>
      </c>
      <c r="E84" s="8">
        <v>0</v>
      </c>
      <c r="F84" s="9">
        <v>2301.24</v>
      </c>
      <c r="G84" s="10">
        <v>983.11</v>
      </c>
      <c r="H84" s="8">
        <v>0</v>
      </c>
      <c r="I84" s="10">
        <v>983.11</v>
      </c>
      <c r="J84" s="10">
        <v>375</v>
      </c>
      <c r="K84" s="8">
        <v>0</v>
      </c>
      <c r="L84" s="10">
        <v>375</v>
      </c>
      <c r="M84" s="10">
        <v>0</v>
      </c>
      <c r="N84" s="8">
        <v>0</v>
      </c>
      <c r="O84" s="10">
        <v>0</v>
      </c>
      <c r="P84" s="10">
        <v>12523.3</v>
      </c>
      <c r="Q84" s="11">
        <v>-3000</v>
      </c>
      <c r="R84" s="10">
        <v>9523.3</v>
      </c>
      <c r="S84" s="10">
        <v>18367.86</v>
      </c>
      <c r="T84" s="11">
        <v>1500</v>
      </c>
      <c r="U84" s="10">
        <v>19867.86</v>
      </c>
      <c r="V84" s="7">
        <v>224</v>
      </c>
      <c r="W84" s="12">
        <v>0</v>
      </c>
      <c r="X84" s="9">
        <v>224</v>
      </c>
      <c r="Y84" s="10">
        <v>194770.39</v>
      </c>
      <c r="Z84" s="12">
        <v>0</v>
      </c>
      <c r="AA84" s="10">
        <v>194770.39</v>
      </c>
      <c r="AB84" s="10">
        <v>1097</v>
      </c>
      <c r="AC84" s="14">
        <v>0</v>
      </c>
      <c r="AD84" s="10">
        <v>1097</v>
      </c>
    </row>
    <row r="85" spans="1:30" ht="78.75" x14ac:dyDescent="0.25">
      <c r="A85" s="5" t="inlineStr">
        <is>
          <t>83</t>
        </is>
      </c>
      <c r="B85" s="6" t="inlineStr">
        <is>
          <t>Phòng giao dịch NHCSXH Liên Chiểu</t>
        </is>
      </c>
      <c r="C85" s="6" t="inlineStr">
        <is>
          <t>Phường Hải Vân</t>
        </is>
      </c>
      <c r="D85" s="7">
        <v>2084.13</v>
      </c>
      <c r="E85" s="8">
        <v>0</v>
      </c>
      <c r="F85" s="9">
        <v>2084.13</v>
      </c>
      <c r="G85" s="10">
        <v>1329</v>
      </c>
      <c r="H85" s="8">
        <v>0</v>
      </c>
      <c r="I85" s="10">
        <v>1329</v>
      </c>
      <c r="J85" s="10">
        <v>672.4</v>
      </c>
      <c r="K85" s="8">
        <v>0</v>
      </c>
      <c r="L85" s="10">
        <v>672.4</v>
      </c>
      <c r="M85" s="10">
        <v>20</v>
      </c>
      <c r="N85" s="8">
        <v>0</v>
      </c>
      <c r="O85" s="10">
        <v>20</v>
      </c>
      <c r="P85" s="10">
        <v>8048.27</v>
      </c>
      <c r="Q85" s="11">
        <v>-1470</v>
      </c>
      <c r="R85" s="10">
        <v>6578.27</v>
      </c>
      <c r="S85" s="10">
        <v>8173.8</v>
      </c>
      <c r="T85" s="11">
        <v>1500</v>
      </c>
      <c r="U85" s="10">
        <v>9673.8</v>
      </c>
      <c r="V85" s="7">
        <v>204</v>
      </c>
      <c r="W85" s="12">
        <v>0</v>
      </c>
      <c r="X85" s="9">
        <v>204</v>
      </c>
      <c r="Y85" s="10">
        <v>127605.67</v>
      </c>
      <c r="Z85" s="12">
        <v>0</v>
      </c>
      <c r="AA85" s="10">
        <v>127605.67</v>
      </c>
      <c r="AB85" s="10">
        <v>5465</v>
      </c>
      <c r="AC85" s="14">
        <v>0</v>
      </c>
      <c r="AD85" s="10">
        <v>5465</v>
      </c>
    </row>
    <row r="86" spans="1:30" ht="78.75" x14ac:dyDescent="0.25">
      <c r="A86" s="5" t="inlineStr">
        <is>
          <t>84</t>
        </is>
      </c>
      <c r="B86" s="6" t="inlineStr">
        <is>
          <t>Phòng giao dịch NHCSXH Liên Chiểu</t>
        </is>
      </c>
      <c r="C86" s="6" t="inlineStr">
        <is>
          <t>Phường Liên Chiểu</t>
        </is>
      </c>
      <c r="D86" s="7">
        <v>401</v>
      </c>
      <c r="E86" s="8">
        <v>0</v>
      </c>
      <c r="F86" s="9">
        <v>401</v>
      </c>
      <c r="G86" s="10">
        <v>237</v>
      </c>
      <c r="H86" s="8">
        <v>0</v>
      </c>
      <c r="I86" s="10">
        <v>237</v>
      </c>
      <c r="J86" s="10">
        <v>107</v>
      </c>
      <c r="K86" s="8">
        <v>0</v>
      </c>
      <c r="L86" s="10">
        <v>107</v>
      </c>
      <c r="M86" s="10">
        <v>0</v>
      </c>
      <c r="N86" s="8">
        <v>0</v>
      </c>
      <c r="O86" s="10">
        <v>0</v>
      </c>
      <c r="P86" s="10">
        <v>14223.8</v>
      </c>
      <c r="Q86" s="11">
        <v>-3000</v>
      </c>
      <c r="R86" s="10">
        <v>11223.8</v>
      </c>
      <c r="S86" s="10">
        <v>11618.09</v>
      </c>
      <c r="T86" s="11">
        <v>1000</v>
      </c>
      <c r="U86" s="10">
        <v>12618.09</v>
      </c>
      <c r="V86" s="7">
        <v>235</v>
      </c>
      <c r="W86" s="12">
        <v>0</v>
      </c>
      <c r="X86" s="9">
        <v>235</v>
      </c>
      <c r="Y86" s="10">
        <v>85561.24</v>
      </c>
      <c r="Z86" s="12">
        <v>0</v>
      </c>
      <c r="AA86" s="10">
        <v>85561.24</v>
      </c>
      <c r="AB86" s="10">
        <v>275</v>
      </c>
      <c r="AC86" s="14">
        <v>0</v>
      </c>
      <c r="AD86" s="10">
        <v>275</v>
      </c>
    </row>
    <row r="87" spans="1:30" ht="78.75" x14ac:dyDescent="0.25">
      <c r="A87" s="5" t="inlineStr">
        <is>
          <t>85</t>
        </is>
      </c>
      <c r="B87" s="6" t="inlineStr">
        <is>
          <t>Phòng giao dịch NHCSXH Sơn Trà</t>
        </is>
      </c>
      <c r="C87" s="6" t="inlineStr">
        <is>
          <t>Phường An Hải</t>
        </is>
      </c>
      <c r="D87" s="7">
        <v>229</v>
      </c>
      <c r="E87" s="5">
        <v>-100</v>
      </c>
      <c r="F87" s="9">
        <v>129</v>
      </c>
      <c r="G87" s="10">
        <v>514</v>
      </c>
      <c r="H87" s="5">
        <v>-100</v>
      </c>
      <c r="I87" s="10">
        <v>414</v>
      </c>
      <c r="J87" s="10">
        <v>50</v>
      </c>
      <c r="K87" s="5">
        <v>0</v>
      </c>
      <c r="L87" s="10">
        <v>50</v>
      </c>
      <c r="M87" s="10">
        <v>0</v>
      </c>
      <c r="N87" s="8">
        <v>0</v>
      </c>
      <c r="O87" s="10">
        <v>0</v>
      </c>
      <c r="P87" s="10">
        <v>0</v>
      </c>
      <c r="Q87" s="8">
        <v>0</v>
      </c>
      <c r="R87" s="10">
        <v>0</v>
      </c>
      <c r="S87" s="10">
        <v>2062.37</v>
      </c>
      <c r="T87" s="8">
        <v>0</v>
      </c>
      <c r="U87" s="10">
        <v>2062.37</v>
      </c>
      <c r="V87" s="7">
        <v>97</v>
      </c>
      <c r="W87" s="12">
        <v>0</v>
      </c>
      <c r="X87" s="9">
        <v>97</v>
      </c>
      <c r="Y87" s="10">
        <v>144963.69</v>
      </c>
      <c r="Z87" s="13">
        <v>-8000</v>
      </c>
      <c r="AA87" s="10">
        <v>136963.69</v>
      </c>
      <c r="AB87" s="10">
        <v>5420</v>
      </c>
      <c r="AC87" s="14">
        <v>0</v>
      </c>
      <c r="AD87" s="10">
        <v>5420</v>
      </c>
    </row>
    <row r="88" spans="1:30" ht="78.75" x14ac:dyDescent="0.25">
      <c r="A88" s="5" t="inlineStr">
        <is>
          <t>86</t>
        </is>
      </c>
      <c r="B88" s="6" t="inlineStr">
        <is>
          <t>Phòng giao dịch NHCSXH Sơn Trà</t>
        </is>
      </c>
      <c r="C88" s="6" t="inlineStr">
        <is>
          <t>Phường Sơn Trà</t>
        </is>
      </c>
      <c r="D88" s="7">
        <v>444</v>
      </c>
      <c r="E88" s="5">
        <v>-173</v>
      </c>
      <c r="F88" s="9">
        <v>271</v>
      </c>
      <c r="G88" s="10">
        <v>512.92</v>
      </c>
      <c r="H88" s="5">
        <v>-127</v>
      </c>
      <c r="I88" s="10">
        <v>385.92</v>
      </c>
      <c r="J88" s="10">
        <v>204</v>
      </c>
      <c r="K88" s="5">
        <v>-54</v>
      </c>
      <c r="L88" s="10">
        <v>150</v>
      </c>
      <c r="M88" s="10">
        <v>0</v>
      </c>
      <c r="N88" s="8">
        <v>0</v>
      </c>
      <c r="O88" s="10">
        <v>0</v>
      </c>
      <c r="P88" s="10">
        <v>0</v>
      </c>
      <c r="Q88" s="8">
        <v>0</v>
      </c>
      <c r="R88" s="10">
        <v>0</v>
      </c>
      <c r="S88" s="10">
        <v>3532.8</v>
      </c>
      <c r="T88" s="8">
        <v>0</v>
      </c>
      <c r="U88" s="10">
        <v>3532.8</v>
      </c>
      <c r="V88" s="7">
        <v>229</v>
      </c>
      <c r="W88" s="12">
        <v>0</v>
      </c>
      <c r="X88" s="9">
        <v>229</v>
      </c>
      <c r="Y88" s="10">
        <v>166668.18</v>
      </c>
      <c r="Z88" s="13">
        <v>-2000</v>
      </c>
      <c r="AA88" s="10">
        <v>164668.18</v>
      </c>
      <c r="AB88" s="10">
        <v>2039.7</v>
      </c>
      <c r="AC88" s="14">
        <v>0</v>
      </c>
      <c r="AD88" s="10">
        <v>2039.7</v>
      </c>
    </row>
    <row r="89" spans="1:30" ht="94.5" x14ac:dyDescent="0.25">
      <c r="A89" s="5" t="inlineStr">
        <is>
          <t>87</t>
        </is>
      </c>
      <c r="B89" s="6" t="inlineStr">
        <is>
          <t>Phòng giao dịch NHCSXH Ngũ Hành Sơn</t>
        </is>
      </c>
      <c r="C89" s="6" t="inlineStr">
        <is>
          <t>Phường Ngũ Hành Sơn</t>
        </is>
      </c>
      <c r="D89" s="7">
        <v>1397</v>
      </c>
      <c r="E89" s="8">
        <v>0</v>
      </c>
      <c r="F89" s="9">
        <v>1397</v>
      </c>
      <c r="G89" s="10">
        <v>438.43</v>
      </c>
      <c r="H89" s="5">
        <v>-50</v>
      </c>
      <c r="I89" s="10">
        <v>388.43</v>
      </c>
      <c r="J89" s="10">
        <v>287</v>
      </c>
      <c r="K89" s="5">
        <v>-30</v>
      </c>
      <c r="L89" s="10">
        <v>257</v>
      </c>
      <c r="M89" s="10">
        <v>0</v>
      </c>
      <c r="N89" s="8">
        <v>0</v>
      </c>
      <c r="O89" s="10">
        <v>0</v>
      </c>
      <c r="P89" s="10">
        <v>0</v>
      </c>
      <c r="Q89" s="8">
        <v>0</v>
      </c>
      <c r="R89" s="10">
        <v>0</v>
      </c>
      <c r="S89" s="10">
        <v>3658</v>
      </c>
      <c r="T89" s="8">
        <v>0</v>
      </c>
      <c r="U89" s="10">
        <v>3658</v>
      </c>
      <c r="V89" s="7">
        <v>565</v>
      </c>
      <c r="W89" s="12">
        <v>0</v>
      </c>
      <c r="X89" s="9">
        <v>565</v>
      </c>
      <c r="Y89" s="10">
        <v>227889.79</v>
      </c>
      <c r="Z89" s="13">
        <v>8000</v>
      </c>
      <c r="AA89" s="10">
        <v>235889.79</v>
      </c>
      <c r="AB89" s="10">
        <v>5519.85</v>
      </c>
      <c r="AC89" s="14">
        <v>0</v>
      </c>
      <c r="AD89" s="10">
        <v>5519.85</v>
      </c>
    </row>
    <row r="90" spans="1:30" ht="78.75" x14ac:dyDescent="0.25">
      <c r="A90" s="5" t="inlineStr">
        <is>
          <t>88</t>
        </is>
      </c>
      <c r="B90" s="6" t="inlineStr">
        <is>
          <t>Phòng giao dịch NHCSXH Hòa Vang</t>
        </is>
      </c>
      <c r="C90" s="6" t="inlineStr">
        <is>
          <t>Xã Bà Nà</t>
        </is>
      </c>
      <c r="D90" s="7">
        <v>208</v>
      </c>
      <c r="E90" s="8">
        <v>0</v>
      </c>
      <c r="F90" s="9">
        <v>208</v>
      </c>
      <c r="G90" s="10">
        <v>115</v>
      </c>
      <c r="H90" s="8">
        <v>0</v>
      </c>
      <c r="I90" s="10">
        <v>115</v>
      </c>
      <c r="J90" s="10">
        <v>76</v>
      </c>
      <c r="K90" s="8">
        <v>0</v>
      </c>
      <c r="L90" s="10">
        <v>76</v>
      </c>
      <c r="M90" s="10">
        <v>0</v>
      </c>
      <c r="N90" s="8">
        <v>0</v>
      </c>
      <c r="O90" s="10">
        <v>0</v>
      </c>
      <c r="P90" s="10">
        <v>23806.03</v>
      </c>
      <c r="Q90" s="11">
        <v>2000</v>
      </c>
      <c r="R90" s="10">
        <v>25806.03</v>
      </c>
      <c r="S90" s="10">
        <v>2329</v>
      </c>
      <c r="T90" s="11">
        <v>1000</v>
      </c>
      <c r="U90" s="10">
        <v>3329</v>
      </c>
      <c r="V90" s="7">
        <v>50</v>
      </c>
      <c r="W90" s="12">
        <v>0</v>
      </c>
      <c r="X90" s="9">
        <v>50</v>
      </c>
      <c r="Y90" s="10">
        <v>76212.57</v>
      </c>
      <c r="Z90" s="12">
        <v>0</v>
      </c>
      <c r="AA90" s="10">
        <v>76212.57</v>
      </c>
      <c r="AB90" s="10">
        <v>277.7</v>
      </c>
      <c r="AC90" s="14">
        <v>0</v>
      </c>
      <c r="AD90" s="10">
        <v>277.7</v>
      </c>
    </row>
    <row r="91" spans="1:30" ht="78.75" x14ac:dyDescent="0.25">
      <c r="A91" s="5" t="inlineStr">
        <is>
          <t>89</t>
        </is>
      </c>
      <c r="B91" s="6" t="inlineStr">
        <is>
          <t>Phòng giao dịch NHCSXH Hòa Vang</t>
        </is>
      </c>
      <c r="C91" s="6" t="inlineStr">
        <is>
          <t>Xã Hòa Tiến</t>
        </is>
      </c>
      <c r="D91" s="7">
        <v>530</v>
      </c>
      <c r="E91" s="8">
        <v>0</v>
      </c>
      <c r="F91" s="9">
        <v>530</v>
      </c>
      <c r="G91" s="10">
        <v>95</v>
      </c>
      <c r="H91" s="8">
        <v>0</v>
      </c>
      <c r="I91" s="10">
        <v>95</v>
      </c>
      <c r="J91" s="10">
        <v>0</v>
      </c>
      <c r="K91" s="8">
        <v>0</v>
      </c>
      <c r="L91" s="10">
        <v>0</v>
      </c>
      <c r="M91" s="10">
        <v>0</v>
      </c>
      <c r="N91" s="8">
        <v>0</v>
      </c>
      <c r="O91" s="10">
        <v>0</v>
      </c>
      <c r="P91" s="10">
        <v>32454.42</v>
      </c>
      <c r="Q91" s="11">
        <v>3000</v>
      </c>
      <c r="R91" s="10">
        <v>35454.42</v>
      </c>
      <c r="S91" s="10">
        <v>4844.25</v>
      </c>
      <c r="T91" s="11">
        <v>1000</v>
      </c>
      <c r="U91" s="10">
        <v>5844.25</v>
      </c>
      <c r="V91" s="7">
        <v>100</v>
      </c>
      <c r="W91" s="12">
        <v>0</v>
      </c>
      <c r="X91" s="9">
        <v>100</v>
      </c>
      <c r="Y91" s="10">
        <v>93329.9</v>
      </c>
      <c r="Z91" s="12">
        <v>0</v>
      </c>
      <c r="AA91" s="10">
        <v>93329.9</v>
      </c>
      <c r="AB91" s="10">
        <v>4173.6</v>
      </c>
      <c r="AC91" s="14">
        <v>0</v>
      </c>
      <c r="AD91" s="10">
        <v>4173.6</v>
      </c>
    </row>
    <row r="92" spans="1:30" ht="78.75" x14ac:dyDescent="0.25">
      <c r="A92" s="5" t="inlineStr">
        <is>
          <t>90</t>
        </is>
      </c>
      <c r="B92" s="6" t="inlineStr">
        <is>
          <t>Phòng giao dịch NHCSXH Hòa Vang</t>
        </is>
      </c>
      <c r="C92" s="6" t="inlineStr">
        <is>
          <t>Xã Hòa Vang</t>
        </is>
      </c>
      <c r="D92" s="7">
        <v>497</v>
      </c>
      <c r="E92" s="8">
        <v>0</v>
      </c>
      <c r="F92" s="9">
        <v>497</v>
      </c>
      <c r="G92" s="10">
        <v>50</v>
      </c>
      <c r="H92" s="8">
        <v>0</v>
      </c>
      <c r="I92" s="10">
        <v>50</v>
      </c>
      <c r="J92" s="10">
        <v>202</v>
      </c>
      <c r="K92" s="8">
        <v>0</v>
      </c>
      <c r="L92" s="10">
        <v>202</v>
      </c>
      <c r="M92" s="10">
        <v>0</v>
      </c>
      <c r="N92" s="8">
        <v>0</v>
      </c>
      <c r="O92" s="10">
        <v>0</v>
      </c>
      <c r="P92" s="10">
        <v>29390.83</v>
      </c>
      <c r="Q92" s="11">
        <v>4000</v>
      </c>
      <c r="R92" s="10">
        <v>33390.83</v>
      </c>
      <c r="S92" s="10">
        <v>6429.6</v>
      </c>
      <c r="T92" s="11">
        <v>2000</v>
      </c>
      <c r="U92" s="10">
        <v>8429.6</v>
      </c>
      <c r="V92" s="7">
        <v>50</v>
      </c>
      <c r="W92" s="15">
        <v>190</v>
      </c>
      <c r="X92" s="9">
        <v>240</v>
      </c>
      <c r="Y92" s="10">
        <v>74357.14</v>
      </c>
      <c r="Z92" s="13">
        <v>10000</v>
      </c>
      <c r="AA92" s="10">
        <v>84357.14</v>
      </c>
      <c r="AB92" s="10">
        <v>2298.7</v>
      </c>
      <c r="AC92" s="14">
        <v>0</v>
      </c>
      <c r="AD92" s="10">
        <v>2298.7</v>
      </c>
    </row>
    <row r="93" spans="1:30" ht="78.75" x14ac:dyDescent="0.25">
      <c r="A93" s="5" t="inlineStr">
        <is>
          <t>91</t>
        </is>
      </c>
      <c r="B93" s="6" t="inlineStr">
        <is>
          <t>Phòng giao dịch NHCSXH Cẩm Lệ</t>
        </is>
      </c>
      <c r="C93" s="6" t="inlineStr">
        <is>
          <t>Phường An Khê</t>
        </is>
      </c>
      <c r="D93" s="7">
        <v>455</v>
      </c>
      <c r="E93" s="8">
        <v>0</v>
      </c>
      <c r="F93" s="9">
        <v>455</v>
      </c>
      <c r="G93" s="10">
        <v>183</v>
      </c>
      <c r="H93" s="8">
        <v>0</v>
      </c>
      <c r="I93" s="10">
        <v>183</v>
      </c>
      <c r="J93" s="10">
        <v>102</v>
      </c>
      <c r="K93" s="8">
        <v>0</v>
      </c>
      <c r="L93" s="10">
        <v>102</v>
      </c>
      <c r="M93" s="10">
        <v>0</v>
      </c>
      <c r="N93" s="8">
        <v>0</v>
      </c>
      <c r="O93" s="10">
        <v>0</v>
      </c>
      <c r="P93" s="10">
        <v>0</v>
      </c>
      <c r="Q93" s="8">
        <v>0</v>
      </c>
      <c r="R93" s="10">
        <v>0</v>
      </c>
      <c r="S93" s="10">
        <v>9428.2</v>
      </c>
      <c r="T93" s="8">
        <v>0</v>
      </c>
      <c r="U93" s="10">
        <v>9428.2</v>
      </c>
      <c r="V93" s="7">
        <v>206</v>
      </c>
      <c r="W93" s="12">
        <v>0</v>
      </c>
      <c r="X93" s="9">
        <v>206</v>
      </c>
      <c r="Y93" s="10">
        <v>131414.67</v>
      </c>
      <c r="Z93" s="12">
        <v>0</v>
      </c>
      <c r="AA93" s="10">
        <v>131414.67</v>
      </c>
      <c r="AB93" s="10">
        <v>1639.47</v>
      </c>
      <c r="AC93" s="14">
        <v>0</v>
      </c>
      <c r="AD93" s="10">
        <v>1639.47</v>
      </c>
    </row>
    <row r="94" spans="1:30" ht="78.75" x14ac:dyDescent="0.25">
      <c r="A94" s="5" t="inlineStr">
        <is>
          <t>92</t>
        </is>
      </c>
      <c r="B94" s="6" t="inlineStr">
        <is>
          <t>Phòng giao dịch NHCSXH Cẩm Lệ</t>
        </is>
      </c>
      <c r="C94" s="6" t="inlineStr">
        <is>
          <t>Phường Cẩm Lệ</t>
        </is>
      </c>
      <c r="D94" s="7">
        <v>553.32</v>
      </c>
      <c r="E94" s="8">
        <v>0</v>
      </c>
      <c r="F94" s="9">
        <v>553.32</v>
      </c>
      <c r="G94" s="10">
        <v>155</v>
      </c>
      <c r="H94" s="8">
        <v>0</v>
      </c>
      <c r="I94" s="10">
        <v>155</v>
      </c>
      <c r="J94" s="10">
        <v>115</v>
      </c>
      <c r="K94" s="8">
        <v>0</v>
      </c>
      <c r="L94" s="10">
        <v>115</v>
      </c>
      <c r="M94" s="10">
        <v>0</v>
      </c>
      <c r="N94" s="8">
        <v>0</v>
      </c>
      <c r="O94" s="10">
        <v>0</v>
      </c>
      <c r="P94" s="10">
        <v>0</v>
      </c>
      <c r="Q94" s="8">
        <v>0</v>
      </c>
      <c r="R94" s="10">
        <v>0</v>
      </c>
      <c r="S94" s="10">
        <v>10428.71</v>
      </c>
      <c r="T94" s="5">
        <v>500</v>
      </c>
      <c r="U94" s="10">
        <v>10928.71</v>
      </c>
      <c r="V94" s="7">
        <v>128.8</v>
      </c>
      <c r="W94" s="15">
        <v>100</v>
      </c>
      <c r="X94" s="9">
        <v>228.8</v>
      </c>
      <c r="Y94" s="10">
        <v>128311.43</v>
      </c>
      <c r="Z94" s="12">
        <v>0</v>
      </c>
      <c r="AA94" s="10">
        <v>128311.43</v>
      </c>
      <c r="AB94" s="10">
        <v>4988.97</v>
      </c>
      <c r="AC94" s="14">
        <v>0</v>
      </c>
      <c r="AD94" s="10">
        <v>4988.97</v>
      </c>
    </row>
    <row r="95" spans="1:30" ht="78.75" x14ac:dyDescent="0.25">
      <c r="A95" s="5" t="inlineStr">
        <is>
          <t>93</t>
        </is>
      </c>
      <c r="B95" s="6" t="inlineStr">
        <is>
          <t>Phòng giao dịch NHCSXH Cẩm Lệ</t>
        </is>
      </c>
      <c r="C95" s="6" t="inlineStr">
        <is>
          <t>Phường Hòa Xuân</t>
        </is>
      </c>
      <c r="D95" s="7">
        <v>361</v>
      </c>
      <c r="E95" s="8">
        <v>0</v>
      </c>
      <c r="F95" s="9">
        <v>361</v>
      </c>
      <c r="G95" s="10">
        <v>0</v>
      </c>
      <c r="H95" s="8">
        <v>0</v>
      </c>
      <c r="I95" s="10">
        <v>0</v>
      </c>
      <c r="J95" s="10">
        <v>0</v>
      </c>
      <c r="K95" s="8">
        <v>0</v>
      </c>
      <c r="L95" s="10">
        <v>0</v>
      </c>
      <c r="M95" s="10">
        <v>0</v>
      </c>
      <c r="N95" s="8">
        <v>0</v>
      </c>
      <c r="O95" s="10">
        <v>0</v>
      </c>
      <c r="P95" s="10">
        <v>27569.79</v>
      </c>
      <c r="Q95" s="11">
        <v>-7600</v>
      </c>
      <c r="R95" s="10">
        <v>19969.79</v>
      </c>
      <c r="S95" s="10">
        <v>9000.7</v>
      </c>
      <c r="T95" s="8">
        <v>0</v>
      </c>
      <c r="U95" s="10">
        <v>9000.7</v>
      </c>
      <c r="V95" s="7">
        <v>174</v>
      </c>
      <c r="W95" s="12">
        <v>0</v>
      </c>
      <c r="X95" s="9">
        <v>174</v>
      </c>
      <c r="Y95" s="10">
        <v>158287.04</v>
      </c>
      <c r="Z95" s="12">
        <v>0</v>
      </c>
      <c r="AA95" s="10">
        <v>158287.04</v>
      </c>
      <c r="AB95" s="10">
        <v>3065.5</v>
      </c>
      <c r="AC95" s="14">
        <v>0</v>
      </c>
      <c r="AD95" s="10">
        <v>3065.5</v>
      </c>
    </row>
    <row r="96" spans="1:30" ht="78.75" x14ac:dyDescent="0.25">
      <c r="A96" s="5" t="inlineStr">
        <is>
          <t>94</t>
        </is>
      </c>
      <c r="B96" s="21" t="inlineStr">
        <is>
          <t>Phòng giao dịch NHCSXH Núi Thành</t>
        </is>
      </c>
      <c r="C96" s="6" t="inlineStr">
        <is>
          <t>Cho vay trực tiếp NOXH</t>
        </is>
      </c>
      <c r="D96" s="7">
        <v>0</v>
      </c>
      <c r="E96" s="8">
        <v>0</v>
      </c>
      <c r="F96" s="9">
        <v>0</v>
      </c>
      <c r="G96" s="10">
        <v>0</v>
      </c>
      <c r="H96" s="8">
        <v>0</v>
      </c>
      <c r="I96" s="10">
        <v>0</v>
      </c>
      <c r="J96" s="10">
        <v>0</v>
      </c>
      <c r="K96" s="8">
        <v>0</v>
      </c>
      <c r="L96" s="10">
        <v>0</v>
      </c>
      <c r="M96" s="10">
        <v>0</v>
      </c>
      <c r="N96" s="8">
        <v>0</v>
      </c>
      <c r="O96" s="10">
        <v>0</v>
      </c>
      <c r="P96" s="10">
        <v>0</v>
      </c>
      <c r="Q96" s="8">
        <v>0</v>
      </c>
      <c r="R96" s="10">
        <v>0</v>
      </c>
      <c r="S96" s="10">
        <v>0</v>
      </c>
      <c r="T96" s="8">
        <v>0</v>
      </c>
      <c r="U96" s="10">
        <v>0</v>
      </c>
      <c r="V96" s="7">
        <v>0</v>
      </c>
      <c r="W96" s="12">
        <v>0</v>
      </c>
      <c r="X96" s="9">
        <v>0</v>
      </c>
      <c r="Y96" s="10">
        <v>0</v>
      </c>
      <c r="Z96" s="12">
        <v>0</v>
      </c>
      <c r="AA96" s="10">
        <v>0</v>
      </c>
      <c r="AB96" s="10">
        <v>0</v>
      </c>
      <c r="AC96" s="14">
        <v>0</v>
      </c>
      <c r="AD96" s="10">
        <v>0</v>
      </c>
    </row>
    <row r="97" spans="1:30" ht="78.75" x14ac:dyDescent="0.25">
      <c r="A97" s="5" t="inlineStr">
        <is>
          <t>95</t>
        </is>
      </c>
      <c r="B97" s="6" t="inlineStr">
        <is>
          <t>Phòng giao dịch NHCSXH Thanh Khê</t>
        </is>
      </c>
      <c r="C97" s="6" t="inlineStr">
        <is>
          <t>Cho vay trực tiếp NOXH</t>
        </is>
      </c>
      <c r="D97" s="7">
        <v>0</v>
      </c>
      <c r="E97" s="8">
        <v>0</v>
      </c>
      <c r="F97" s="9">
        <v>0</v>
      </c>
      <c r="G97" s="10">
        <v>0</v>
      </c>
      <c r="H97" s="8">
        <v>0</v>
      </c>
      <c r="I97" s="10">
        <v>0</v>
      </c>
      <c r="J97" s="10">
        <v>0</v>
      </c>
      <c r="K97" s="8">
        <v>0</v>
      </c>
      <c r="L97" s="10">
        <v>0</v>
      </c>
      <c r="M97" s="10">
        <v>0</v>
      </c>
      <c r="N97" s="8">
        <v>0</v>
      </c>
      <c r="O97" s="10">
        <v>0</v>
      </c>
      <c r="P97" s="10">
        <v>0</v>
      </c>
      <c r="Q97" s="8">
        <v>0</v>
      </c>
      <c r="R97" s="10">
        <v>0</v>
      </c>
      <c r="S97" s="10">
        <v>0</v>
      </c>
      <c r="T97" s="8">
        <v>0</v>
      </c>
      <c r="U97" s="10">
        <v>0</v>
      </c>
      <c r="V97" s="7">
        <v>0</v>
      </c>
      <c r="W97" s="12">
        <v>0</v>
      </c>
      <c r="X97" s="9">
        <v>0</v>
      </c>
      <c r="Y97" s="10">
        <v>0</v>
      </c>
      <c r="Z97" s="12">
        <v>0</v>
      </c>
      <c r="AA97" s="10">
        <v>0</v>
      </c>
      <c r="AB97" s="10">
        <v>0</v>
      </c>
      <c r="AC97" s="14">
        <v>0</v>
      </c>
      <c r="AD97" s="10">
        <v>0</v>
      </c>
    </row>
    <row r="98" spans="1:30" ht="78.75" x14ac:dyDescent="0.25">
      <c r="A98" s="5" t="inlineStr">
        <is>
          <t>96</t>
        </is>
      </c>
      <c r="B98" s="21" t="inlineStr">
        <is>
          <t>Phòng giao dịch NHCSXH Liên Chiểu</t>
        </is>
      </c>
      <c r="C98" s="6" t="inlineStr">
        <is>
          <t>Cho vay trực tiếp NOXH</t>
        </is>
      </c>
      <c r="D98" s="7">
        <v>0</v>
      </c>
      <c r="E98" s="8">
        <v>0</v>
      </c>
      <c r="F98" s="9">
        <v>0</v>
      </c>
      <c r="G98" s="10">
        <v>0</v>
      </c>
      <c r="H98" s="8">
        <v>0</v>
      </c>
      <c r="I98" s="10">
        <v>0</v>
      </c>
      <c r="J98" s="10">
        <v>0</v>
      </c>
      <c r="K98" s="8">
        <v>0</v>
      </c>
      <c r="L98" s="10">
        <v>0</v>
      </c>
      <c r="M98" s="10">
        <v>0</v>
      </c>
      <c r="N98" s="8">
        <v>0</v>
      </c>
      <c r="O98" s="10">
        <v>0</v>
      </c>
      <c r="P98" s="10">
        <v>0</v>
      </c>
      <c r="Q98" s="8">
        <v>0</v>
      </c>
      <c r="R98" s="10">
        <v>0</v>
      </c>
      <c r="S98" s="10">
        <v>0</v>
      </c>
      <c r="T98" s="8">
        <v>0</v>
      </c>
      <c r="U98" s="10">
        <v>0</v>
      </c>
      <c r="V98" s="7">
        <v>0</v>
      </c>
      <c r="W98" s="12">
        <v>0</v>
      </c>
      <c r="X98" s="9">
        <v>0</v>
      </c>
      <c r="Y98" s="10">
        <v>0</v>
      </c>
      <c r="Z98" s="12">
        <v>0</v>
      </c>
      <c r="AA98" s="10">
        <v>0</v>
      </c>
      <c r="AB98" s="10">
        <v>0</v>
      </c>
      <c r="AC98" s="14">
        <v>0</v>
      </c>
      <c r="AD98" s="10">
        <v>0</v>
      </c>
    </row>
    <row r="99" spans="1:30" ht="78.75" x14ac:dyDescent="0.25">
      <c r="A99" s="5" t="inlineStr">
        <is>
          <t>97</t>
        </is>
      </c>
      <c r="B99" s="21" t="inlineStr">
        <is>
          <t>Phòng giao dịch NHCSXH Hòa Vang</t>
        </is>
      </c>
      <c r="C99" s="6" t="inlineStr">
        <is>
          <t>Cho vay trực tiếp NOXH</t>
        </is>
      </c>
      <c r="D99" s="7">
        <v>0</v>
      </c>
      <c r="E99" s="8">
        <v>0</v>
      </c>
      <c r="F99" s="9">
        <v>0</v>
      </c>
      <c r="G99" s="10">
        <v>0</v>
      </c>
      <c r="H99" s="8">
        <v>0</v>
      </c>
      <c r="I99" s="10">
        <v>0</v>
      </c>
      <c r="J99" s="10">
        <v>0</v>
      </c>
      <c r="K99" s="8">
        <v>0</v>
      </c>
      <c r="L99" s="10">
        <v>0</v>
      </c>
      <c r="M99" s="10">
        <v>0</v>
      </c>
      <c r="N99" s="8">
        <v>0</v>
      </c>
      <c r="O99" s="10">
        <v>0</v>
      </c>
      <c r="P99" s="10">
        <v>0</v>
      </c>
      <c r="Q99" s="8">
        <v>0</v>
      </c>
      <c r="R99" s="10">
        <v>0</v>
      </c>
      <c r="S99" s="10">
        <v>0</v>
      </c>
      <c r="T99" s="8">
        <v>0</v>
      </c>
      <c r="U99" s="10">
        <v>0</v>
      </c>
      <c r="V99" s="7">
        <v>0</v>
      </c>
      <c r="W99" s="12">
        <v>0</v>
      </c>
      <c r="X99" s="9">
        <v>0</v>
      </c>
      <c r="Y99" s="10">
        <v>0</v>
      </c>
      <c r="Z99" s="12">
        <v>0</v>
      </c>
      <c r="AA99" s="10">
        <v>0</v>
      </c>
      <c r="AB99" s="10">
        <v>0</v>
      </c>
      <c r="AC99" s="14">
        <v>0</v>
      </c>
      <c r="AD99" s="10">
        <v>0</v>
      </c>
    </row>
    <row r="100" spans="1:30" ht="15.75" x14ac:dyDescent="0.25">
      <c r="A100" s="22" t="inlineStr">
        <is>
          <t/>
        </is>
      </c>
      <c r="B100" s="22" t="inlineStr">
        <is>
          <t/>
        </is>
      </c>
      <c r="C100" s="22" t="inlineStr">
        <is>
          <t/>
        </is>
      </c>
      <c r="D100" s="23">
        <f>SUM(D3:D99)</f>
        <v>779345.91</v>
      </c>
      <c r="E100" s="23">
        <f t="shared" ref="E100:AD100" si="18">SUM(E3:E99)</f>
        <v>15000</v>
      </c>
      <c r="F100" s="23">
        <v>794345.91</v>
      </c>
      <c r="G100" s="23">
        <v>1619442.94</v>
      </c>
      <c r="H100" s="23">
        <v>-90000</v>
      </c>
      <c r="I100" s="23">
        <v>1529442.94</v>
      </c>
      <c r="J100" s="23">
        <v>741282.01</v>
      </c>
      <c r="K100" s="23">
        <v>-60000</v>
      </c>
      <c r="L100" s="23">
        <v>681282.01</v>
      </c>
      <c r="M100" s="23">
        <v>561666.54</v>
      </c>
      <c r="N100" s="23">
        <v>-11000</v>
      </c>
      <c r="O100" s="23">
        <v>550666.54</v>
      </c>
      <c r="P100" s="23">
        <v>1449442.36</v>
      </c>
      <c r="Q100" s="23">
        <v>95000</v>
      </c>
      <c r="R100" s="23">
        <v>1544442.36</v>
      </c>
      <c r="S100" s="23">
        <v>692887.66</v>
      </c>
      <c r="T100" s="23">
        <v>80000</v>
      </c>
      <c r="U100" s="23">
        <v>772887.66</v>
      </c>
      <c r="V100" s="23">
        <v>12616.9</v>
      </c>
      <c r="W100" s="23">
        <v>1500</v>
      </c>
      <c r="X100" s="23">
        <v>14116.9</v>
      </c>
      <c r="Y100" s="23">
        <v>3770823.14</v>
      </c>
      <c r="Z100" s="23">
        <v>200000</v>
      </c>
      <c r="AA100" s="23">
        <v>3970823.14</v>
      </c>
      <c r="AB100" s="23">
        <v>129613.08</v>
      </c>
      <c r="AC100" s="23">
        <v>0</v>
      </c>
      <c r="AD100" s="23">
        <v>129613.08</v>
      </c>
    </row>
  </sheetData>
  <mergeCells count="12">
    <mergeCell ref="M1:O1"/>
    <mergeCell ref="P1:R1"/>
    <mergeCell ref="S1:U1"/>
    <mergeCell ref="V1:X1"/>
    <mergeCell ref="Y1:AA1"/>
    <mergeCell ref="AB1:AD1"/>
    <mergeCell ref="A1:A2"/>
    <mergeCell ref="B1:B2"/>
    <mergeCell ref="C1:C2"/>
    <mergeCell ref="D1:F1"/>
    <mergeCell ref="G1:I1"/>
    <mergeCell ref="J1:L1"/>
  </mergeCells>
  <conditionalFormatting sqref="F3:F99">
    <cfRule type="cellIs" dxfId="7" priority="8" operator="lessThan">
      <formula>0</formula>
    </cfRule>
  </conditionalFormatting>
  <conditionalFormatting sqref="I3:I99">
    <cfRule type="cellIs" dxfId="6" priority="7" operator="lessThan">
      <formula>0</formula>
    </cfRule>
  </conditionalFormatting>
  <conditionalFormatting sqref="L3:L99">
    <cfRule type="cellIs" dxfId="5" priority="6" operator="lessThan">
      <formula>0</formula>
    </cfRule>
  </conditionalFormatting>
  <conditionalFormatting sqref="O3:O99">
    <cfRule type="cellIs" dxfId="4" priority="5" operator="lessThan">
      <formula>0</formula>
    </cfRule>
  </conditionalFormatting>
  <conditionalFormatting sqref="AA3:AA99">
    <cfRule type="cellIs" dxfId="3" priority="4" operator="lessThan">
      <formula>0</formula>
    </cfRule>
  </conditionalFormatting>
  <conditionalFormatting sqref="AD3:AD99">
    <cfRule type="cellIs" dxfId="2" priority="3" operator="lessThan">
      <formula>0</formula>
    </cfRule>
  </conditionalFormatting>
  <conditionalFormatting sqref="X3:X99">
    <cfRule type="cellIs" dxfId="1" priority="2" operator="lessThan">
      <formula>0</formula>
    </cfRule>
  </conditionalFormatting>
  <conditionalFormatting sqref="U3:U99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dcterms:created xsi:type="dcterms:W3CDTF">2026-03-21T09:50:42Z</dcterms:created>
  <dcterms:modified xsi:type="dcterms:W3CDTF">2026-03-21T09:50:54Z</dcterms:modified>
</cp:coreProperties>
</file>